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495" windowWidth="10215" windowHeight="2775" activeTab="2"/>
  </bookViews>
  <sheets>
    <sheet name="ItemBank" sheetId="1" r:id="rId1"/>
    <sheet name="Responses" sheetId="2" r:id="rId2"/>
    <sheet name="Stats" sheetId="3" r:id="rId3"/>
    <sheet name="Help" sheetId="4" r:id="rId4"/>
  </sheets>
  <calcPr calcId="124519"/>
</workbook>
</file>

<file path=xl/calcChain.xml><?xml version="1.0" encoding="utf-8"?>
<calcChain xmlns="http://schemas.openxmlformats.org/spreadsheetml/2006/main">
  <c r="D24" i="3"/>
  <c r="C24"/>
  <c r="B24"/>
  <c r="D23"/>
  <c r="C23"/>
  <c r="B23"/>
  <c r="D22"/>
  <c r="C22"/>
  <c r="B22"/>
  <c r="D21"/>
  <c r="C21"/>
  <c r="B21"/>
  <c r="D20"/>
  <c r="C20"/>
  <c r="B20"/>
  <c r="B25"/>
  <c r="D19"/>
  <c r="C19"/>
  <c r="B19"/>
  <c r="D18"/>
  <c r="C18"/>
  <c r="B18"/>
  <c r="D17"/>
  <c r="C17"/>
  <c r="B17"/>
  <c r="D16"/>
  <c r="C16"/>
  <c r="B16"/>
  <c r="D15"/>
  <c r="C15"/>
  <c r="B15"/>
  <c r="D14"/>
  <c r="C14"/>
  <c r="B14"/>
  <c r="D13"/>
  <c r="C13"/>
  <c r="B13"/>
  <c r="D12"/>
  <c r="C12"/>
  <c r="B12"/>
  <c r="D11"/>
  <c r="C11"/>
  <c r="B11"/>
  <c r="D10"/>
  <c r="C10"/>
  <c r="B10"/>
  <c r="C9" l="1"/>
  <c r="B9"/>
  <c r="C8"/>
  <c r="B8"/>
  <c r="C7"/>
  <c r="B7"/>
  <c r="C6"/>
  <c r="B6"/>
  <c r="C5"/>
  <c r="B5"/>
  <c r="B3"/>
  <c r="B2"/>
  <c r="D8"/>
  <c r="D9"/>
  <c r="D5"/>
  <c r="D7"/>
  <c r="D6"/>
</calcChain>
</file>

<file path=xl/sharedStrings.xml><?xml version="1.0" encoding="utf-8"?>
<sst xmlns="http://schemas.openxmlformats.org/spreadsheetml/2006/main" count="242" uniqueCount="116">
  <si>
    <t>ID</t>
  </si>
  <si>
    <t>Passage</t>
  </si>
  <si>
    <t>Question</t>
  </si>
  <si>
    <t>ChoiceA</t>
  </si>
  <si>
    <t>ChoiceB</t>
  </si>
  <si>
    <t>ChoiceC</t>
  </si>
  <si>
    <t>ChoiceD</t>
  </si>
  <si>
    <t>Correct</t>
  </si>
  <si>
    <t>Difficulty</t>
  </si>
  <si>
    <t>Texto A</t>
  </si>
  <si>
    <t>Qual é a capital da França?</t>
  </si>
  <si>
    <t>Paris</t>
  </si>
  <si>
    <t>Londres</t>
  </si>
  <si>
    <t>Roma</t>
  </si>
  <si>
    <t>Berlim</t>
  </si>
  <si>
    <t>A</t>
  </si>
  <si>
    <t>Easy</t>
  </si>
  <si>
    <t>Texto B</t>
  </si>
  <si>
    <t>2 + 2 = ?</t>
  </si>
  <si>
    <t>3</t>
  </si>
  <si>
    <t>4</t>
  </si>
  <si>
    <t>5</t>
  </si>
  <si>
    <t>6</t>
  </si>
  <si>
    <t>B</t>
  </si>
  <si>
    <t>Texto C</t>
  </si>
  <si>
    <t>Quem descobriu o Brasil?</t>
  </si>
  <si>
    <t>Cabral</t>
  </si>
  <si>
    <t>Colombo</t>
  </si>
  <si>
    <t>Vespucci</t>
  </si>
  <si>
    <t>Magalhães</t>
  </si>
  <si>
    <t>Medium</t>
  </si>
  <si>
    <t>Texto D</t>
  </si>
  <si>
    <t>O Sol é uma...</t>
  </si>
  <si>
    <t>Estrela</t>
  </si>
  <si>
    <t>Galáxia</t>
  </si>
  <si>
    <t>Lua</t>
  </si>
  <si>
    <t>Nebulosa</t>
  </si>
  <si>
    <t>Texto E</t>
  </si>
  <si>
    <t>Água é composta por...</t>
  </si>
  <si>
    <t>H2O</t>
  </si>
  <si>
    <t>CO2</t>
  </si>
  <si>
    <t>O2</t>
  </si>
  <si>
    <t>NaCl</t>
  </si>
  <si>
    <t>Student</t>
  </si>
  <si>
    <t>Item1</t>
  </si>
  <si>
    <t>Item2</t>
  </si>
  <si>
    <t>Item3</t>
  </si>
  <si>
    <t>Item4</t>
  </si>
  <si>
    <t>Item5</t>
  </si>
  <si>
    <t>Metric</t>
  </si>
  <si>
    <t>Value</t>
  </si>
  <si>
    <t>Number_of_Items</t>
  </si>
  <si>
    <t>Participants</t>
  </si>
  <si>
    <t>Item</t>
  </si>
  <si>
    <t>p_value</t>
  </si>
  <si>
    <t>Discrimination</t>
  </si>
  <si>
    <t>Variance</t>
  </si>
  <si>
    <t>Item 1</t>
  </si>
  <si>
    <t>Item 2</t>
  </si>
  <si>
    <t>Item 3</t>
  </si>
  <si>
    <t>Item 4</t>
  </si>
  <si>
    <t>Item 5</t>
  </si>
  <si>
    <t>Cronbach_Alpha</t>
  </si>
  <si>
    <t xml:space="preserve">INSTRUÇÕES:
- ItemBank contém 5 itens de exemplo.
- Responses traz 5 estudantes fictícios com respostas 1/0.
- Stats calcula p-value, discriminação, variância e alfa de Cronbach.
- Você pode editar itens ou respostas livremente.
</t>
  </si>
  <si>
    <t>References</t>
  </si>
  <si>
    <t>O Coeficiente Alfa de Cronbach (α ) é uma medida comumente utilizada de confiabilidade (ou seja, a avaliação da consistência interna dos questionários) para um conjunto de dois ou mais indicadores de construto (BLAND; ALTMAN, 1997).</t>
  </si>
  <si>
    <t>Item6</t>
  </si>
  <si>
    <t>Item7</t>
  </si>
  <si>
    <t>Item8</t>
  </si>
  <si>
    <t>Item9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</si>
  <si>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</si>
  <si>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</si>
  <si>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</si>
  <si>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</si>
  <si>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</si>
  <si>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</si>
  <si>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</si>
  <si>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</si>
  <si>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</si>
  <si>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</si>
  <si>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</si>
  <si>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Aluno  (Nome) 1</t>
  </si>
  <si>
    <t>Aluno  (Nome) 2</t>
  </si>
  <si>
    <t>Aluno  (Nome) 3</t>
  </si>
  <si>
    <t>Aluno  (Nome) 4</t>
  </si>
  <si>
    <t>Aluno  (Nome) 5</t>
  </si>
  <si>
    <t>Aluno  (Nome) 6</t>
  </si>
  <si>
    <t>Aluno  (Nome) 7</t>
  </si>
  <si>
    <t>Aluno  (Nome) 8</t>
  </si>
  <si>
    <t>Aluno  (Nome) 9</t>
  </si>
  <si>
    <t>Aluno  (Nome) 10</t>
  </si>
  <si>
    <t>Aluno  (Nome) 11</t>
  </si>
  <si>
    <t>Aluno  (Nome) 12</t>
  </si>
  <si>
    <t>Aluno  (Nome) 13</t>
  </si>
  <si>
    <t>Aluno  (Nome) 14</t>
  </si>
  <si>
    <t>Aluno  (Nome) 15</t>
  </si>
  <si>
    <t>Aluno  (Nome) 16</t>
  </si>
  <si>
    <t>Aluno  (Nome) 17</t>
  </si>
  <si>
    <t>Aluno  (Nome) 18</t>
  </si>
  <si>
    <t>Aluno  (Nome) 19</t>
  </si>
  <si>
    <t>Aluno  (Nome) 20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</si>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</sst>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justify" vertical="top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>
      <selection activeCell="B23" sqref="B23"/>
    </sheetView>
  </sheetViews>
  <sheetFormatPr defaultRowHeight="15"/>
  <cols>
    <col min="1" max="1" width="10.85546875" customWidth="1"/>
    <col min="2" max="2" width="12.7109375" customWidth="1"/>
    <col min="3" max="3" width="34.85546875" customWidth="1"/>
    <col min="4" max="4" width="24" customWidth="1"/>
    <col min="5" max="5" width="13.28515625" customWidth="1"/>
    <col min="6" max="6" width="13.85546875" customWidth="1"/>
    <col min="7" max="7" width="14.42578125" customWidth="1"/>
    <col min="8" max="8" width="11.28515625" customWidth="1"/>
    <col min="9" max="9" width="10.7109375" customWidth="1"/>
  </cols>
  <sheetData>
    <row r="1" spans="1:9">
      <c r="A1" s="4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5">
        <v>1</v>
      </c>
      <c r="B2" s="5" t="s">
        <v>9</v>
      </c>
      <c r="C2" s="1" t="s">
        <v>10</v>
      </c>
      <c r="D2" s="1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</row>
    <row r="3" spans="1:9">
      <c r="A3" s="5">
        <v>2</v>
      </c>
      <c r="B3" s="5" t="s">
        <v>17</v>
      </c>
      <c r="C3" s="1" t="s">
        <v>18</v>
      </c>
      <c r="D3" s="1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16</v>
      </c>
    </row>
    <row r="4" spans="1:9">
      <c r="A4" s="5">
        <v>3</v>
      </c>
      <c r="B4" s="5" t="s">
        <v>24</v>
      </c>
      <c r="C4" s="1" t="s">
        <v>25</v>
      </c>
      <c r="D4" s="1" t="s">
        <v>26</v>
      </c>
      <c r="E4" s="5" t="s">
        <v>27</v>
      </c>
      <c r="F4" s="5" t="s">
        <v>28</v>
      </c>
      <c r="G4" s="5" t="s">
        <v>29</v>
      </c>
      <c r="H4" s="5" t="s">
        <v>15</v>
      </c>
      <c r="I4" s="5" t="s">
        <v>30</v>
      </c>
    </row>
    <row r="5" spans="1:9">
      <c r="A5" s="5">
        <v>4</v>
      </c>
      <c r="B5" s="5" t="s">
        <v>31</v>
      </c>
      <c r="C5" s="1" t="s">
        <v>32</v>
      </c>
      <c r="D5" s="1" t="s">
        <v>33</v>
      </c>
      <c r="E5" s="5" t="s">
        <v>34</v>
      </c>
      <c r="F5" s="5" t="s">
        <v>35</v>
      </c>
      <c r="G5" s="5" t="s">
        <v>36</v>
      </c>
      <c r="H5" s="5" t="s">
        <v>15</v>
      </c>
      <c r="I5" s="5" t="s">
        <v>30</v>
      </c>
    </row>
    <row r="6" spans="1:9">
      <c r="A6" s="5">
        <v>5</v>
      </c>
      <c r="B6" s="5" t="s">
        <v>37</v>
      </c>
      <c r="C6" s="1" t="s">
        <v>38</v>
      </c>
      <c r="D6" s="1" t="s">
        <v>39</v>
      </c>
      <c r="E6" s="5" t="s">
        <v>40</v>
      </c>
      <c r="F6" s="5" t="s">
        <v>41</v>
      </c>
      <c r="G6" s="5" t="s">
        <v>42</v>
      </c>
      <c r="H6" s="5" t="s">
        <v>15</v>
      </c>
      <c r="I6" s="5" t="s">
        <v>16</v>
      </c>
    </row>
    <row r="7" spans="1:9">
      <c r="A7" s="5">
        <v>6</v>
      </c>
      <c r="B7" s="5" t="s">
        <v>9</v>
      </c>
      <c r="C7" s="1" t="s">
        <v>10</v>
      </c>
      <c r="D7" s="1" t="s">
        <v>11</v>
      </c>
      <c r="E7" s="5" t="s">
        <v>12</v>
      </c>
      <c r="F7" s="5" t="s">
        <v>13</v>
      </c>
      <c r="G7" s="5" t="s">
        <v>14</v>
      </c>
      <c r="H7" s="5" t="s">
        <v>15</v>
      </c>
      <c r="I7" s="5" t="s">
        <v>16</v>
      </c>
    </row>
    <row r="8" spans="1:9">
      <c r="A8" s="5">
        <v>7</v>
      </c>
      <c r="B8" s="5" t="s">
        <v>17</v>
      </c>
      <c r="C8" s="1" t="s">
        <v>18</v>
      </c>
      <c r="D8" s="1" t="s">
        <v>19</v>
      </c>
      <c r="E8" s="5" t="s">
        <v>20</v>
      </c>
      <c r="F8" s="5" t="s">
        <v>21</v>
      </c>
      <c r="G8" s="5" t="s">
        <v>22</v>
      </c>
      <c r="H8" s="5" t="s">
        <v>23</v>
      </c>
      <c r="I8" s="5" t="s">
        <v>16</v>
      </c>
    </row>
    <row r="9" spans="1:9">
      <c r="A9" s="5">
        <v>8</v>
      </c>
      <c r="B9" s="5" t="s">
        <v>24</v>
      </c>
      <c r="C9" s="1" t="s">
        <v>25</v>
      </c>
      <c r="D9" s="1" t="s">
        <v>26</v>
      </c>
      <c r="E9" s="5" t="s">
        <v>27</v>
      </c>
      <c r="F9" s="5" t="s">
        <v>28</v>
      </c>
      <c r="G9" s="5" t="s">
        <v>29</v>
      </c>
      <c r="H9" s="5" t="s">
        <v>15</v>
      </c>
      <c r="I9" s="5" t="s">
        <v>30</v>
      </c>
    </row>
    <row r="10" spans="1:9">
      <c r="A10" s="5">
        <v>9</v>
      </c>
      <c r="B10" s="5" t="s">
        <v>31</v>
      </c>
      <c r="C10" s="1" t="s">
        <v>32</v>
      </c>
      <c r="D10" s="1" t="s">
        <v>33</v>
      </c>
      <c r="E10" s="5" t="s">
        <v>34</v>
      </c>
      <c r="F10" s="5" t="s">
        <v>35</v>
      </c>
      <c r="G10" s="5" t="s">
        <v>36</v>
      </c>
      <c r="H10" s="5" t="s">
        <v>15</v>
      </c>
      <c r="I10" s="5" t="s">
        <v>30</v>
      </c>
    </row>
    <row r="11" spans="1:9">
      <c r="A11" s="5">
        <v>10</v>
      </c>
      <c r="B11" s="5" t="s">
        <v>37</v>
      </c>
      <c r="C11" s="1" t="s">
        <v>38</v>
      </c>
      <c r="D11" s="1" t="s">
        <v>39</v>
      </c>
      <c r="E11" s="5" t="s">
        <v>40</v>
      </c>
      <c r="F11" s="5" t="s">
        <v>41</v>
      </c>
      <c r="G11" s="5" t="s">
        <v>42</v>
      </c>
      <c r="H11" s="5" t="s">
        <v>15</v>
      </c>
      <c r="I11" s="5" t="s">
        <v>16</v>
      </c>
    </row>
    <row r="12" spans="1:9">
      <c r="A12" s="5">
        <v>11</v>
      </c>
      <c r="B12" s="5" t="s">
        <v>9</v>
      </c>
      <c r="C12" s="1" t="s">
        <v>10</v>
      </c>
      <c r="D12" s="1" t="s">
        <v>11</v>
      </c>
      <c r="E12" s="5" t="s">
        <v>12</v>
      </c>
      <c r="F12" s="5" t="s">
        <v>13</v>
      </c>
      <c r="G12" s="5" t="s">
        <v>14</v>
      </c>
      <c r="H12" s="5" t="s">
        <v>15</v>
      </c>
      <c r="I12" s="5" t="s">
        <v>16</v>
      </c>
    </row>
    <row r="13" spans="1:9">
      <c r="A13" s="5">
        <v>12</v>
      </c>
      <c r="B13" s="5" t="s">
        <v>17</v>
      </c>
      <c r="C13" s="1" t="s">
        <v>18</v>
      </c>
      <c r="D13" s="1" t="s">
        <v>19</v>
      </c>
      <c r="E13" s="5" t="s">
        <v>20</v>
      </c>
      <c r="F13" s="5" t="s">
        <v>21</v>
      </c>
      <c r="G13" s="5" t="s">
        <v>22</v>
      </c>
      <c r="H13" s="5" t="s">
        <v>23</v>
      </c>
      <c r="I13" s="5" t="s">
        <v>16</v>
      </c>
    </row>
    <row r="14" spans="1:9">
      <c r="A14" s="5">
        <v>13</v>
      </c>
      <c r="B14" s="5" t="s">
        <v>24</v>
      </c>
      <c r="C14" s="1" t="s">
        <v>25</v>
      </c>
      <c r="D14" s="1" t="s">
        <v>26</v>
      </c>
      <c r="E14" s="5" t="s">
        <v>27</v>
      </c>
      <c r="F14" s="5" t="s">
        <v>28</v>
      </c>
      <c r="G14" s="5" t="s">
        <v>29</v>
      </c>
      <c r="H14" s="5" t="s">
        <v>15</v>
      </c>
      <c r="I14" s="5" t="s">
        <v>30</v>
      </c>
    </row>
    <row r="15" spans="1:9">
      <c r="A15" s="5">
        <v>14</v>
      </c>
      <c r="B15" s="5" t="s">
        <v>31</v>
      </c>
      <c r="C15" s="1" t="s">
        <v>32</v>
      </c>
      <c r="D15" s="1" t="s">
        <v>33</v>
      </c>
      <c r="E15" s="5" t="s">
        <v>34</v>
      </c>
      <c r="F15" s="5" t="s">
        <v>35</v>
      </c>
      <c r="G15" s="5" t="s">
        <v>36</v>
      </c>
      <c r="H15" s="5" t="s">
        <v>15</v>
      </c>
      <c r="I15" s="5" t="s">
        <v>30</v>
      </c>
    </row>
    <row r="16" spans="1:9">
      <c r="A16" s="5">
        <v>15</v>
      </c>
      <c r="B16" s="5" t="s">
        <v>37</v>
      </c>
      <c r="C16" s="1" t="s">
        <v>38</v>
      </c>
      <c r="D16" s="1" t="s">
        <v>39</v>
      </c>
      <c r="E16" s="5" t="s">
        <v>40</v>
      </c>
      <c r="F16" s="5" t="s">
        <v>41</v>
      </c>
      <c r="G16" s="5" t="s">
        <v>42</v>
      </c>
      <c r="H16" s="5" t="s">
        <v>15</v>
      </c>
      <c r="I16" s="5" t="s">
        <v>16</v>
      </c>
    </row>
    <row r="17" spans="1:9">
      <c r="A17" s="5">
        <v>16</v>
      </c>
      <c r="B17" s="5" t="s">
        <v>9</v>
      </c>
      <c r="C17" s="1" t="s">
        <v>10</v>
      </c>
      <c r="D17" s="1" t="s">
        <v>11</v>
      </c>
      <c r="E17" s="5" t="s">
        <v>12</v>
      </c>
      <c r="F17" s="5" t="s">
        <v>13</v>
      </c>
      <c r="G17" s="5" t="s">
        <v>14</v>
      </c>
      <c r="H17" s="5" t="s">
        <v>15</v>
      </c>
      <c r="I17" s="5" t="s">
        <v>16</v>
      </c>
    </row>
    <row r="18" spans="1:9">
      <c r="A18" s="5">
        <v>17</v>
      </c>
      <c r="B18" s="5" t="s">
        <v>17</v>
      </c>
      <c r="C18" s="1" t="s">
        <v>18</v>
      </c>
      <c r="D18" s="1" t="s">
        <v>19</v>
      </c>
      <c r="E18" s="5" t="s">
        <v>20</v>
      </c>
      <c r="F18" s="5" t="s">
        <v>21</v>
      </c>
      <c r="G18" s="5" t="s">
        <v>22</v>
      </c>
      <c r="H18" s="5" t="s">
        <v>23</v>
      </c>
      <c r="I18" s="5" t="s">
        <v>16</v>
      </c>
    </row>
    <row r="19" spans="1:9">
      <c r="A19" s="5">
        <v>18</v>
      </c>
      <c r="B19" s="5" t="s">
        <v>24</v>
      </c>
      <c r="C19" s="1" t="s">
        <v>25</v>
      </c>
      <c r="D19" s="1" t="s">
        <v>26</v>
      </c>
      <c r="E19" s="5" t="s">
        <v>27</v>
      </c>
      <c r="F19" s="5" t="s">
        <v>28</v>
      </c>
      <c r="G19" s="5" t="s">
        <v>29</v>
      </c>
      <c r="H19" s="5" t="s">
        <v>15</v>
      </c>
      <c r="I19" s="5" t="s">
        <v>30</v>
      </c>
    </row>
    <row r="20" spans="1:9">
      <c r="A20" s="5">
        <v>19</v>
      </c>
      <c r="B20" s="5" t="s">
        <v>31</v>
      </c>
      <c r="C20" s="1" t="s">
        <v>32</v>
      </c>
      <c r="D20" s="1" t="s">
        <v>33</v>
      </c>
      <c r="E20" s="5" t="s">
        <v>34</v>
      </c>
      <c r="F20" s="5" t="s">
        <v>35</v>
      </c>
      <c r="G20" s="5" t="s">
        <v>36</v>
      </c>
      <c r="H20" s="5" t="s">
        <v>15</v>
      </c>
      <c r="I20" s="5" t="s">
        <v>30</v>
      </c>
    </row>
    <row r="21" spans="1:9">
      <c r="A21" s="5">
        <v>20</v>
      </c>
      <c r="B21" s="5" t="s">
        <v>37</v>
      </c>
      <c r="C21" s="1" t="s">
        <v>38</v>
      </c>
      <c r="D21" s="1" t="s">
        <v>39</v>
      </c>
      <c r="E21" s="5" t="s">
        <v>40</v>
      </c>
      <c r="F21" s="5" t="s">
        <v>41</v>
      </c>
      <c r="G21" s="5" t="s">
        <v>42</v>
      </c>
      <c r="H21" s="5" t="s">
        <v>15</v>
      </c>
      <c r="I21" s="5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1"/>
  <sheetViews>
    <sheetView workbookViewId="0">
      <selection activeCell="A24" sqref="A24"/>
    </sheetView>
  </sheetViews>
  <sheetFormatPr defaultRowHeight="15"/>
  <cols>
    <col min="1" max="1" width="21.5703125" customWidth="1"/>
    <col min="2" max="2" width="14.42578125" customWidth="1"/>
  </cols>
  <sheetData>
    <row r="1" spans="1:21">
      <c r="A1" s="10" t="s">
        <v>43</v>
      </c>
      <c r="B1" s="10" t="s">
        <v>44</v>
      </c>
      <c r="C1" s="10" t="s">
        <v>45</v>
      </c>
      <c r="D1" s="10" t="s">
        <v>46</v>
      </c>
      <c r="E1" s="10" t="s">
        <v>47</v>
      </c>
      <c r="F1" s="10" t="s">
        <v>48</v>
      </c>
      <c r="G1" s="10" t="s">
        <v>66</v>
      </c>
      <c r="H1" s="10" t="s">
        <v>67</v>
      </c>
      <c r="I1" s="10" t="s">
        <v>68</v>
      </c>
      <c r="J1" s="10" t="s">
        <v>69</v>
      </c>
      <c r="K1" s="10" t="s">
        <v>70</v>
      </c>
      <c r="L1" s="10" t="s">
        <v>71</v>
      </c>
      <c r="M1" s="10" t="s">
        <v>72</v>
      </c>
      <c r="N1" s="10" t="s">
        <v>73</v>
      </c>
      <c r="O1" s="10" t="s">
        <v>74</v>
      </c>
      <c r="P1" s="10" t="s">
        <v>75</v>
      </c>
      <c r="Q1" s="10" t="s">
        <v>76</v>
      </c>
      <c r="R1" s="10" t="s">
        <v>77</v>
      </c>
      <c r="S1" s="10" t="s">
        <v>78</v>
      </c>
      <c r="T1" s="10" t="s">
        <v>79</v>
      </c>
      <c r="U1" s="10" t="s">
        <v>80</v>
      </c>
    </row>
    <row r="2" spans="1:21">
      <c r="A2" s="1" t="s">
        <v>81</v>
      </c>
      <c r="B2" s="1">
        <v>3</v>
      </c>
      <c r="C2" s="1">
        <v>1</v>
      </c>
      <c r="D2" s="1">
        <v>1</v>
      </c>
      <c r="E2" s="1">
        <v>2</v>
      </c>
      <c r="F2" s="1">
        <v>3</v>
      </c>
      <c r="G2" s="1">
        <v>4</v>
      </c>
      <c r="H2" s="1">
        <v>4</v>
      </c>
      <c r="I2" s="1">
        <v>3</v>
      </c>
      <c r="J2" s="1">
        <v>1</v>
      </c>
      <c r="K2" s="1">
        <v>5</v>
      </c>
      <c r="L2" s="1">
        <v>2</v>
      </c>
      <c r="M2" s="1">
        <v>1</v>
      </c>
      <c r="N2" s="1">
        <v>1</v>
      </c>
      <c r="O2" s="1">
        <v>2</v>
      </c>
      <c r="P2" s="1">
        <v>4</v>
      </c>
      <c r="Q2" s="1">
        <v>5</v>
      </c>
      <c r="R2" s="1">
        <v>3</v>
      </c>
      <c r="S2" s="1">
        <v>4</v>
      </c>
      <c r="T2" s="1">
        <v>4</v>
      </c>
      <c r="U2" s="1">
        <v>4</v>
      </c>
    </row>
    <row r="3" spans="1:21">
      <c r="A3" s="1" t="s">
        <v>82</v>
      </c>
      <c r="B3" s="1">
        <v>1</v>
      </c>
      <c r="C3" s="1">
        <v>2</v>
      </c>
      <c r="D3" s="1">
        <v>4</v>
      </c>
      <c r="E3" s="1">
        <v>5</v>
      </c>
      <c r="F3" s="1">
        <v>4</v>
      </c>
      <c r="G3" s="1">
        <v>5</v>
      </c>
      <c r="H3" s="1">
        <v>5</v>
      </c>
      <c r="I3" s="1">
        <v>3</v>
      </c>
      <c r="J3" s="1">
        <v>1</v>
      </c>
      <c r="K3" s="1">
        <v>4</v>
      </c>
      <c r="L3" s="1">
        <v>4</v>
      </c>
      <c r="M3" s="1">
        <v>3</v>
      </c>
      <c r="N3" s="1">
        <v>5</v>
      </c>
      <c r="O3" s="1">
        <v>1</v>
      </c>
      <c r="P3" s="1">
        <v>1</v>
      </c>
      <c r="Q3" s="1">
        <v>4</v>
      </c>
      <c r="R3" s="1">
        <v>3</v>
      </c>
      <c r="S3" s="1">
        <v>5</v>
      </c>
      <c r="T3" s="1">
        <v>1</v>
      </c>
      <c r="U3" s="1">
        <v>5</v>
      </c>
    </row>
    <row r="4" spans="1:21">
      <c r="A4" s="1" t="s">
        <v>83</v>
      </c>
      <c r="B4" s="1">
        <v>4</v>
      </c>
      <c r="C4" s="1">
        <v>4</v>
      </c>
      <c r="D4" s="1">
        <v>5</v>
      </c>
      <c r="E4" s="1">
        <v>4</v>
      </c>
      <c r="F4" s="1">
        <v>5</v>
      </c>
      <c r="G4" s="1">
        <v>1</v>
      </c>
      <c r="H4" s="1">
        <v>1</v>
      </c>
      <c r="I4" s="1">
        <v>3</v>
      </c>
      <c r="J4" s="1">
        <v>1</v>
      </c>
      <c r="K4" s="1">
        <v>5</v>
      </c>
      <c r="L4" s="1">
        <v>2</v>
      </c>
      <c r="M4" s="1">
        <v>2</v>
      </c>
      <c r="N4" s="1">
        <v>4</v>
      </c>
      <c r="O4" s="1">
        <v>3</v>
      </c>
      <c r="P4" s="1">
        <v>5</v>
      </c>
      <c r="Q4" s="1">
        <v>4</v>
      </c>
      <c r="R4" s="1">
        <v>1</v>
      </c>
      <c r="S4" s="1">
        <v>2</v>
      </c>
      <c r="T4" s="1">
        <v>4</v>
      </c>
      <c r="U4" s="1">
        <v>2</v>
      </c>
    </row>
    <row r="5" spans="1:21">
      <c r="A5" s="1" t="s">
        <v>84</v>
      </c>
      <c r="B5" s="1">
        <v>2</v>
      </c>
      <c r="C5" s="1">
        <v>5</v>
      </c>
      <c r="D5" s="1">
        <v>1</v>
      </c>
      <c r="E5" s="1">
        <v>5</v>
      </c>
      <c r="F5" s="1">
        <v>5</v>
      </c>
      <c r="G5" s="1">
        <v>5</v>
      </c>
      <c r="H5" s="1">
        <v>1</v>
      </c>
      <c r="I5" s="1">
        <v>1</v>
      </c>
      <c r="J5" s="1">
        <v>2</v>
      </c>
      <c r="K5" s="1">
        <v>5</v>
      </c>
      <c r="L5" s="1">
        <v>4</v>
      </c>
      <c r="M5" s="1">
        <v>5</v>
      </c>
      <c r="N5" s="1">
        <v>1</v>
      </c>
      <c r="O5" s="1">
        <v>1</v>
      </c>
      <c r="P5" s="1">
        <v>1</v>
      </c>
      <c r="Q5" s="1">
        <v>2</v>
      </c>
      <c r="R5" s="1">
        <v>5</v>
      </c>
      <c r="S5" s="1">
        <v>5</v>
      </c>
      <c r="T5" s="1">
        <v>4</v>
      </c>
      <c r="U5" s="1">
        <v>4</v>
      </c>
    </row>
    <row r="6" spans="1:21">
      <c r="A6" s="1" t="s">
        <v>85</v>
      </c>
      <c r="B6" s="1">
        <v>5</v>
      </c>
      <c r="C6" s="1">
        <v>3</v>
      </c>
      <c r="D6" s="1">
        <v>4</v>
      </c>
      <c r="E6" s="1">
        <v>4</v>
      </c>
      <c r="F6" s="1">
        <v>4</v>
      </c>
      <c r="G6" s="1">
        <v>3</v>
      </c>
      <c r="H6" s="1">
        <v>2</v>
      </c>
      <c r="I6" s="1">
        <v>5</v>
      </c>
      <c r="J6" s="1">
        <v>5</v>
      </c>
      <c r="K6" s="1">
        <v>4</v>
      </c>
      <c r="L6" s="1">
        <v>3</v>
      </c>
      <c r="M6" s="1">
        <v>4</v>
      </c>
      <c r="N6" s="1">
        <v>4</v>
      </c>
      <c r="O6" s="1">
        <v>1</v>
      </c>
      <c r="P6" s="1">
        <v>4</v>
      </c>
      <c r="Q6" s="1">
        <v>1</v>
      </c>
      <c r="R6" s="1">
        <v>3</v>
      </c>
      <c r="S6" s="1">
        <v>1</v>
      </c>
      <c r="T6" s="1">
        <v>4</v>
      </c>
      <c r="U6" s="1">
        <v>1</v>
      </c>
    </row>
    <row r="7" spans="1:21">
      <c r="A7" s="1" t="s">
        <v>86</v>
      </c>
      <c r="B7" s="1">
        <v>3</v>
      </c>
      <c r="C7" s="1">
        <v>4</v>
      </c>
      <c r="D7" s="1">
        <v>4</v>
      </c>
      <c r="E7" s="1">
        <v>3</v>
      </c>
      <c r="F7" s="1">
        <v>4</v>
      </c>
      <c r="G7" s="1">
        <v>2</v>
      </c>
      <c r="H7" s="1">
        <v>2</v>
      </c>
      <c r="I7" s="1">
        <v>2</v>
      </c>
      <c r="J7" s="1">
        <v>2</v>
      </c>
      <c r="K7" s="1">
        <v>4</v>
      </c>
      <c r="L7" s="1">
        <v>3</v>
      </c>
      <c r="M7" s="1">
        <v>4</v>
      </c>
      <c r="N7" s="1">
        <v>1</v>
      </c>
      <c r="O7" s="1">
        <v>3</v>
      </c>
      <c r="P7" s="1">
        <v>5</v>
      </c>
      <c r="Q7" s="1">
        <v>3</v>
      </c>
      <c r="R7" s="1">
        <v>2</v>
      </c>
      <c r="S7" s="1">
        <v>5</v>
      </c>
      <c r="T7" s="1">
        <v>1</v>
      </c>
      <c r="U7" s="1">
        <v>2</v>
      </c>
    </row>
    <row r="8" spans="1:21">
      <c r="A8" s="1" t="s">
        <v>87</v>
      </c>
      <c r="B8" s="1">
        <v>3</v>
      </c>
      <c r="C8" s="1">
        <v>3</v>
      </c>
      <c r="D8" s="1">
        <v>2</v>
      </c>
      <c r="E8" s="1">
        <v>4</v>
      </c>
      <c r="F8" s="1">
        <v>1</v>
      </c>
      <c r="G8" s="1">
        <v>1</v>
      </c>
      <c r="H8" s="1">
        <v>5</v>
      </c>
      <c r="I8" s="1">
        <v>5</v>
      </c>
      <c r="J8" s="1">
        <v>3</v>
      </c>
      <c r="K8" s="1">
        <v>2</v>
      </c>
      <c r="L8" s="1">
        <v>5</v>
      </c>
      <c r="M8" s="1">
        <v>3</v>
      </c>
      <c r="N8" s="1">
        <v>5</v>
      </c>
      <c r="O8" s="1">
        <v>3</v>
      </c>
      <c r="P8" s="1">
        <v>5</v>
      </c>
      <c r="Q8" s="1">
        <v>5</v>
      </c>
      <c r="R8" s="1">
        <v>3</v>
      </c>
      <c r="S8" s="1">
        <v>3</v>
      </c>
      <c r="T8" s="1">
        <v>4</v>
      </c>
      <c r="U8" s="1">
        <v>2</v>
      </c>
    </row>
    <row r="9" spans="1:21">
      <c r="A9" s="1" t="s">
        <v>88</v>
      </c>
      <c r="B9" s="1">
        <v>4</v>
      </c>
      <c r="C9" s="1">
        <v>3</v>
      </c>
      <c r="D9" s="1">
        <v>1</v>
      </c>
      <c r="E9" s="1">
        <v>2</v>
      </c>
      <c r="F9" s="1">
        <v>1</v>
      </c>
      <c r="G9" s="1">
        <v>2</v>
      </c>
      <c r="H9" s="1">
        <v>1</v>
      </c>
      <c r="I9" s="1">
        <v>4</v>
      </c>
      <c r="J9" s="1">
        <v>2</v>
      </c>
      <c r="K9" s="1">
        <v>2</v>
      </c>
      <c r="L9" s="1">
        <v>1</v>
      </c>
      <c r="M9" s="1">
        <v>4</v>
      </c>
      <c r="N9" s="1">
        <v>3</v>
      </c>
      <c r="O9" s="1">
        <v>2</v>
      </c>
      <c r="P9" s="1">
        <v>1</v>
      </c>
      <c r="Q9" s="1">
        <v>4</v>
      </c>
      <c r="R9" s="1">
        <v>3</v>
      </c>
      <c r="S9" s="1">
        <v>5</v>
      </c>
      <c r="T9" s="1">
        <v>5</v>
      </c>
      <c r="U9" s="1">
        <v>2</v>
      </c>
    </row>
    <row r="10" spans="1:21">
      <c r="A10" s="1" t="s">
        <v>89</v>
      </c>
      <c r="B10" s="1">
        <v>3</v>
      </c>
      <c r="C10" s="1">
        <v>1</v>
      </c>
      <c r="D10" s="1">
        <v>4</v>
      </c>
      <c r="E10" s="1">
        <v>2</v>
      </c>
      <c r="F10" s="1">
        <v>2</v>
      </c>
      <c r="G10" s="1">
        <v>3</v>
      </c>
      <c r="H10" s="1">
        <v>2</v>
      </c>
      <c r="I10" s="1">
        <v>5</v>
      </c>
      <c r="J10" s="1">
        <v>5</v>
      </c>
      <c r="K10" s="1">
        <v>2</v>
      </c>
      <c r="L10" s="1">
        <v>5</v>
      </c>
      <c r="M10" s="1">
        <v>3</v>
      </c>
      <c r="N10" s="1">
        <v>1</v>
      </c>
      <c r="O10" s="1">
        <v>1</v>
      </c>
      <c r="P10" s="1">
        <v>2</v>
      </c>
      <c r="Q10" s="1">
        <v>4</v>
      </c>
      <c r="R10" s="1">
        <v>2</v>
      </c>
      <c r="S10" s="1">
        <v>5</v>
      </c>
      <c r="T10" s="1">
        <v>5</v>
      </c>
      <c r="U10" s="1">
        <v>1</v>
      </c>
    </row>
    <row r="11" spans="1:21">
      <c r="A11" s="1" t="s">
        <v>90</v>
      </c>
      <c r="B11" s="1">
        <v>3</v>
      </c>
      <c r="C11" s="1">
        <v>3</v>
      </c>
      <c r="D11" s="1">
        <v>5</v>
      </c>
      <c r="E11" s="1">
        <v>2</v>
      </c>
      <c r="F11" s="1">
        <v>1</v>
      </c>
      <c r="G11" s="1">
        <v>4</v>
      </c>
      <c r="H11" s="1">
        <v>5</v>
      </c>
      <c r="I11" s="1">
        <v>2</v>
      </c>
      <c r="J11" s="1">
        <v>4</v>
      </c>
      <c r="K11" s="1">
        <v>3</v>
      </c>
      <c r="L11" s="1">
        <v>3</v>
      </c>
      <c r="M11" s="1">
        <v>3</v>
      </c>
      <c r="N11" s="1">
        <v>4</v>
      </c>
      <c r="O11" s="1">
        <v>5</v>
      </c>
      <c r="P11" s="1">
        <v>5</v>
      </c>
      <c r="Q11" s="1">
        <v>1</v>
      </c>
      <c r="R11" s="1">
        <v>2</v>
      </c>
      <c r="S11" s="1">
        <v>1</v>
      </c>
      <c r="T11" s="1">
        <v>4</v>
      </c>
      <c r="U11" s="1">
        <v>1</v>
      </c>
    </row>
    <row r="12" spans="1:21">
      <c r="A12" s="1" t="s">
        <v>91</v>
      </c>
      <c r="B12" s="1">
        <v>2</v>
      </c>
      <c r="C12" s="1">
        <v>4</v>
      </c>
      <c r="D12" s="1">
        <v>1</v>
      </c>
      <c r="E12" s="1">
        <v>1</v>
      </c>
      <c r="F12" s="1">
        <v>4</v>
      </c>
      <c r="G12" s="1">
        <v>1</v>
      </c>
      <c r="H12" s="1">
        <v>3</v>
      </c>
      <c r="I12" s="1">
        <v>2</v>
      </c>
      <c r="J12" s="1">
        <v>2</v>
      </c>
      <c r="K12" s="1">
        <v>5</v>
      </c>
      <c r="L12" s="1">
        <v>1</v>
      </c>
      <c r="M12" s="1">
        <v>4</v>
      </c>
      <c r="N12" s="1">
        <v>5</v>
      </c>
      <c r="O12" s="1">
        <v>1</v>
      </c>
      <c r="P12" s="1">
        <v>3</v>
      </c>
      <c r="Q12" s="1">
        <v>3</v>
      </c>
      <c r="R12" s="1">
        <v>3</v>
      </c>
      <c r="S12" s="1">
        <v>2</v>
      </c>
      <c r="T12" s="1">
        <v>5</v>
      </c>
      <c r="U12" s="1">
        <v>3</v>
      </c>
    </row>
    <row r="13" spans="1:21">
      <c r="A13" s="1" t="s">
        <v>92</v>
      </c>
      <c r="B13" s="1">
        <v>1</v>
      </c>
      <c r="C13" s="1">
        <v>3</v>
      </c>
      <c r="D13" s="1">
        <v>5</v>
      </c>
      <c r="E13" s="1">
        <v>3</v>
      </c>
      <c r="F13" s="1">
        <v>3</v>
      </c>
      <c r="G13" s="1">
        <v>2</v>
      </c>
      <c r="H13" s="1">
        <v>4</v>
      </c>
      <c r="I13" s="1">
        <v>1</v>
      </c>
      <c r="J13" s="1">
        <v>4</v>
      </c>
      <c r="K13" s="1">
        <v>2</v>
      </c>
      <c r="L13" s="1">
        <v>1</v>
      </c>
      <c r="M13" s="1">
        <v>5</v>
      </c>
      <c r="N13" s="1">
        <v>2</v>
      </c>
      <c r="O13" s="1">
        <v>2</v>
      </c>
      <c r="P13" s="1">
        <v>5</v>
      </c>
      <c r="Q13" s="1">
        <v>2</v>
      </c>
      <c r="R13" s="1">
        <v>4</v>
      </c>
      <c r="S13" s="1">
        <v>5</v>
      </c>
      <c r="T13" s="1">
        <v>2</v>
      </c>
      <c r="U13" s="1">
        <v>3</v>
      </c>
    </row>
    <row r="14" spans="1:21">
      <c r="A14" s="1" t="s">
        <v>93</v>
      </c>
      <c r="B14" s="1">
        <v>3</v>
      </c>
      <c r="C14" s="1">
        <v>3</v>
      </c>
      <c r="D14" s="1">
        <v>1</v>
      </c>
      <c r="E14" s="1">
        <v>4</v>
      </c>
      <c r="F14" s="1">
        <v>1</v>
      </c>
      <c r="G14" s="1">
        <v>4</v>
      </c>
      <c r="H14" s="1">
        <v>3</v>
      </c>
      <c r="I14" s="1">
        <v>2</v>
      </c>
      <c r="J14" s="1">
        <v>1</v>
      </c>
      <c r="K14" s="1">
        <v>4</v>
      </c>
      <c r="L14" s="1">
        <v>3</v>
      </c>
      <c r="M14" s="1">
        <v>3</v>
      </c>
      <c r="N14" s="1">
        <v>2</v>
      </c>
      <c r="O14" s="1">
        <v>5</v>
      </c>
      <c r="P14" s="1">
        <v>1</v>
      </c>
      <c r="Q14" s="1">
        <v>1</v>
      </c>
      <c r="R14" s="1">
        <v>3</v>
      </c>
      <c r="S14" s="1">
        <v>3</v>
      </c>
      <c r="T14" s="1">
        <v>1</v>
      </c>
      <c r="U14" s="1">
        <v>3</v>
      </c>
    </row>
    <row r="15" spans="1:21">
      <c r="A15" s="1" t="s">
        <v>94</v>
      </c>
      <c r="B15" s="1">
        <v>1</v>
      </c>
      <c r="C15" s="1">
        <v>4</v>
      </c>
      <c r="D15" s="1">
        <v>2</v>
      </c>
      <c r="E15" s="1">
        <v>4</v>
      </c>
      <c r="F15" s="1">
        <v>2</v>
      </c>
      <c r="G15" s="1">
        <v>2</v>
      </c>
      <c r="H15" s="1">
        <v>2</v>
      </c>
      <c r="I15" s="1">
        <v>4</v>
      </c>
      <c r="J15" s="1">
        <v>4</v>
      </c>
      <c r="K15" s="1">
        <v>4</v>
      </c>
      <c r="L15" s="1">
        <v>3</v>
      </c>
      <c r="M15" s="1">
        <v>5</v>
      </c>
      <c r="N15" s="1">
        <v>5</v>
      </c>
      <c r="O15" s="1">
        <v>3</v>
      </c>
      <c r="P15" s="1">
        <v>1</v>
      </c>
      <c r="Q15" s="1">
        <v>5</v>
      </c>
      <c r="R15" s="1">
        <v>2</v>
      </c>
      <c r="S15" s="1">
        <v>2</v>
      </c>
      <c r="T15" s="1">
        <v>4</v>
      </c>
      <c r="U15" s="1">
        <v>4</v>
      </c>
    </row>
    <row r="16" spans="1:21">
      <c r="A16" s="1" t="s">
        <v>95</v>
      </c>
      <c r="B16" s="1">
        <v>1</v>
      </c>
      <c r="C16" s="1">
        <v>5</v>
      </c>
      <c r="D16" s="1">
        <v>1</v>
      </c>
      <c r="E16" s="1">
        <v>1</v>
      </c>
      <c r="F16" s="1">
        <v>1</v>
      </c>
      <c r="G16" s="1">
        <v>2</v>
      </c>
      <c r="H16" s="1">
        <v>2</v>
      </c>
      <c r="I16" s="1">
        <v>3</v>
      </c>
      <c r="J16" s="1">
        <v>3</v>
      </c>
      <c r="K16" s="1">
        <v>4</v>
      </c>
      <c r="L16" s="1">
        <v>5</v>
      </c>
      <c r="M16" s="1">
        <v>4</v>
      </c>
      <c r="N16" s="1">
        <v>4</v>
      </c>
      <c r="O16" s="1">
        <v>3</v>
      </c>
      <c r="P16" s="1">
        <v>1</v>
      </c>
      <c r="Q16" s="1">
        <v>1</v>
      </c>
      <c r="R16" s="1">
        <v>5</v>
      </c>
      <c r="S16" s="1">
        <v>4</v>
      </c>
      <c r="T16" s="1">
        <v>3</v>
      </c>
      <c r="U16" s="1">
        <v>1</v>
      </c>
    </row>
    <row r="17" spans="1:21">
      <c r="A17" s="1" t="s">
        <v>96</v>
      </c>
      <c r="B17" s="1">
        <v>1</v>
      </c>
      <c r="C17" s="1">
        <v>1</v>
      </c>
      <c r="D17" s="1">
        <v>4</v>
      </c>
      <c r="E17" s="1">
        <v>4</v>
      </c>
      <c r="F17" s="1">
        <v>2</v>
      </c>
      <c r="G17" s="1">
        <v>3</v>
      </c>
      <c r="H17" s="1">
        <v>3</v>
      </c>
      <c r="I17" s="1">
        <v>1</v>
      </c>
      <c r="J17" s="1">
        <v>2</v>
      </c>
      <c r="K17" s="1">
        <v>3</v>
      </c>
      <c r="L17" s="1">
        <v>4</v>
      </c>
      <c r="M17" s="1">
        <v>2</v>
      </c>
      <c r="N17" s="1">
        <v>5</v>
      </c>
      <c r="O17" s="1">
        <v>3</v>
      </c>
      <c r="P17" s="1">
        <v>3</v>
      </c>
      <c r="Q17" s="1">
        <v>1</v>
      </c>
      <c r="R17" s="1">
        <v>3</v>
      </c>
      <c r="S17" s="1">
        <v>4</v>
      </c>
      <c r="T17" s="1">
        <v>4</v>
      </c>
      <c r="U17" s="1">
        <v>5</v>
      </c>
    </row>
    <row r="18" spans="1:21">
      <c r="A18" s="1" t="s">
        <v>97</v>
      </c>
      <c r="B18" s="1">
        <v>5</v>
      </c>
      <c r="C18" s="1">
        <v>5</v>
      </c>
      <c r="D18" s="1">
        <v>2</v>
      </c>
      <c r="E18" s="1">
        <v>1</v>
      </c>
      <c r="F18" s="1">
        <v>5</v>
      </c>
      <c r="G18" s="1">
        <v>5</v>
      </c>
      <c r="H18" s="1">
        <v>2</v>
      </c>
      <c r="I18" s="1">
        <v>2</v>
      </c>
      <c r="J18" s="1">
        <v>1</v>
      </c>
      <c r="K18" s="1">
        <v>4</v>
      </c>
      <c r="L18" s="1">
        <v>4</v>
      </c>
      <c r="M18" s="1">
        <v>5</v>
      </c>
      <c r="N18" s="1">
        <v>4</v>
      </c>
      <c r="O18" s="1">
        <v>1</v>
      </c>
      <c r="P18" s="1">
        <v>4</v>
      </c>
      <c r="Q18" s="1">
        <v>2</v>
      </c>
      <c r="R18" s="1">
        <v>4</v>
      </c>
      <c r="S18" s="1">
        <v>4</v>
      </c>
      <c r="T18" s="1">
        <v>1</v>
      </c>
      <c r="U18" s="1">
        <v>2</v>
      </c>
    </row>
    <row r="19" spans="1:21">
      <c r="A19" s="1" t="s">
        <v>98</v>
      </c>
      <c r="B19" s="1">
        <v>2</v>
      </c>
      <c r="C19" s="1">
        <v>1</v>
      </c>
      <c r="D19" s="1">
        <v>4</v>
      </c>
      <c r="E19" s="1">
        <v>5</v>
      </c>
      <c r="F19" s="1">
        <v>4</v>
      </c>
      <c r="G19" s="1">
        <v>4</v>
      </c>
      <c r="H19" s="1">
        <v>4</v>
      </c>
      <c r="I19" s="1">
        <v>5</v>
      </c>
      <c r="J19" s="1">
        <v>4</v>
      </c>
      <c r="K19" s="1">
        <v>4</v>
      </c>
      <c r="L19" s="1">
        <v>1</v>
      </c>
      <c r="M19" s="1">
        <v>2</v>
      </c>
      <c r="N19" s="1">
        <v>3</v>
      </c>
      <c r="O19" s="1">
        <v>4</v>
      </c>
      <c r="P19" s="1">
        <v>2</v>
      </c>
      <c r="Q19" s="1">
        <v>5</v>
      </c>
      <c r="R19" s="1">
        <v>3</v>
      </c>
      <c r="S19" s="1">
        <v>1</v>
      </c>
      <c r="T19" s="1">
        <v>1</v>
      </c>
      <c r="U19" s="1">
        <v>2</v>
      </c>
    </row>
    <row r="20" spans="1:21">
      <c r="A20" s="1" t="s">
        <v>99</v>
      </c>
      <c r="B20" s="1">
        <v>3</v>
      </c>
      <c r="C20" s="1">
        <v>2</v>
      </c>
      <c r="D20" s="1">
        <v>3</v>
      </c>
      <c r="E20" s="1">
        <v>3</v>
      </c>
      <c r="F20" s="1">
        <v>5</v>
      </c>
      <c r="G20" s="1">
        <v>4</v>
      </c>
      <c r="H20" s="1">
        <v>3</v>
      </c>
      <c r="I20" s="1">
        <v>2</v>
      </c>
      <c r="J20" s="1">
        <v>2</v>
      </c>
      <c r="K20" s="1">
        <v>5</v>
      </c>
      <c r="L20" s="1">
        <v>4</v>
      </c>
      <c r="M20" s="1">
        <v>1</v>
      </c>
      <c r="N20" s="1">
        <v>4</v>
      </c>
      <c r="O20" s="1">
        <v>5</v>
      </c>
      <c r="P20" s="1">
        <v>5</v>
      </c>
      <c r="Q20" s="1">
        <v>3</v>
      </c>
      <c r="R20" s="1">
        <v>3</v>
      </c>
      <c r="S20" s="1">
        <v>1</v>
      </c>
      <c r="T20" s="1">
        <v>2</v>
      </c>
      <c r="U20" s="1">
        <v>2</v>
      </c>
    </row>
    <row r="21" spans="1:21">
      <c r="A21" s="1" t="s">
        <v>100</v>
      </c>
      <c r="B21" s="1">
        <v>5</v>
      </c>
      <c r="C21" s="1">
        <v>5</v>
      </c>
      <c r="D21" s="1">
        <v>1</v>
      </c>
      <c r="E21" s="1">
        <v>4</v>
      </c>
      <c r="F21" s="1">
        <v>4</v>
      </c>
      <c r="G21" s="1">
        <v>2</v>
      </c>
      <c r="H21" s="1">
        <v>2</v>
      </c>
      <c r="I21" s="1">
        <v>2</v>
      </c>
      <c r="J21" s="1">
        <v>2</v>
      </c>
      <c r="K21" s="1">
        <v>5</v>
      </c>
      <c r="L21" s="1">
        <v>4</v>
      </c>
      <c r="M21" s="1">
        <v>5</v>
      </c>
      <c r="N21" s="1">
        <v>2</v>
      </c>
      <c r="O21" s="1">
        <v>3</v>
      </c>
      <c r="P21" s="1">
        <v>2</v>
      </c>
      <c r="Q21" s="1">
        <v>1</v>
      </c>
      <c r="R21" s="1">
        <v>5</v>
      </c>
      <c r="S21" s="1">
        <v>4</v>
      </c>
      <c r="T21" s="1">
        <v>5</v>
      </c>
      <c r="U21" s="1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5"/>
  <sheetViews>
    <sheetView tabSelected="1" topLeftCell="A4" workbookViewId="0">
      <selection activeCell="H20" sqref="H20"/>
    </sheetView>
  </sheetViews>
  <sheetFormatPr defaultRowHeight="15"/>
  <cols>
    <col min="1" max="1" width="18.42578125" customWidth="1"/>
    <col min="2" max="2" width="16" customWidth="1"/>
    <col min="3" max="3" width="22.140625" customWidth="1"/>
    <col min="4" max="4" width="21" customWidth="1"/>
  </cols>
  <sheetData>
    <row r="1" spans="1:4">
      <c r="A1" s="2" t="s">
        <v>49</v>
      </c>
      <c r="B1" s="4" t="s">
        <v>50</v>
      </c>
      <c r="C1" s="3"/>
      <c r="D1" s="3"/>
    </row>
    <row r="2" spans="1:4">
      <c r="A2" s="1" t="s">
        <v>51</v>
      </c>
      <c r="B2" s="5">
        <f>COUNTA(ItemBank!A:A)-1</f>
        <v>20</v>
      </c>
      <c r="C2" s="3"/>
      <c r="D2" s="3"/>
    </row>
    <row r="3" spans="1:4">
      <c r="A3" s="1" t="s">
        <v>52</v>
      </c>
      <c r="B3" s="5">
        <f>COUNTA(Responses!A:A)-1</f>
        <v>20</v>
      </c>
      <c r="C3" s="3"/>
      <c r="D3" s="3"/>
    </row>
    <row r="4" spans="1:4">
      <c r="A4" s="2" t="s">
        <v>53</v>
      </c>
      <c r="B4" s="4" t="s">
        <v>54</v>
      </c>
      <c r="C4" s="2" t="s">
        <v>55</v>
      </c>
      <c r="D4" s="2" t="s">
        <v>56</v>
      </c>
    </row>
    <row r="5" spans="1:4">
      <c r="A5" s="1" t="s">
        <v>57</v>
      </c>
      <c r="B5" s="5">
        <f>AVERAGE(Responses!B2:B6)</f>
        <v>3</v>
      </c>
      <c r="C5" s="1">
        <f>CORREL(Responses!B2:B6,Responses!G2:G6)</f>
        <v>-0.7559289460184544</v>
      </c>
      <c r="D5" s="1" t="e">
        <f ca="1">VAR.S(Responses!B2:B6)</f>
        <v>#NAME?</v>
      </c>
    </row>
    <row r="6" spans="1:4">
      <c r="A6" s="1" t="s">
        <v>58</v>
      </c>
      <c r="B6" s="5">
        <f>AVERAGE(Responses!C2:C6)</f>
        <v>3</v>
      </c>
      <c r="C6" s="1">
        <f>CORREL(Responses!C2:C6,Responses!G2:G6)</f>
        <v>-0.1889822365046136</v>
      </c>
      <c r="D6" s="1" t="e">
        <f ca="1">VAR.S(Responses!C2:C6)</f>
        <v>#NAME?</v>
      </c>
    </row>
    <row r="7" spans="1:4">
      <c r="A7" s="1" t="s">
        <v>59</v>
      </c>
      <c r="B7" s="5">
        <f>AVERAGE(Responses!D2:D6)</f>
        <v>3</v>
      </c>
      <c r="C7" s="1">
        <f>CORREL(Responses!D2:D6,Responses!G2:G6)</f>
        <v>-0.63887656499993994</v>
      </c>
      <c r="D7" s="1" t="e">
        <f ca="1">VAR.S(Responses!D2:D6)</f>
        <v>#NAME?</v>
      </c>
    </row>
    <row r="8" spans="1:4">
      <c r="A8" s="1" t="s">
        <v>60</v>
      </c>
      <c r="B8" s="5">
        <f>AVERAGE(Responses!E2:E6)</f>
        <v>4</v>
      </c>
      <c r="C8" s="1">
        <f>CORREL(Responses!E2:E6,Responses!G2:G6)</f>
        <v>0.24397501823713336</v>
      </c>
      <c r="D8" s="1" t="e">
        <f ca="1">VAR.S(Responses!E2:E6)</f>
        <v>#NAME?</v>
      </c>
    </row>
    <row r="9" spans="1:4">
      <c r="A9" s="1" t="s">
        <v>61</v>
      </c>
      <c r="B9" s="5">
        <f>AVERAGE(Responses!F2:F6)</f>
        <v>4.2</v>
      </c>
      <c r="C9" s="1">
        <f>CORREL(Responses!F2:F6,Responses!G2:G6)</f>
        <v>-0.28571428571428575</v>
      </c>
      <c r="D9" s="1" t="e">
        <f ca="1">VAR.S(Responses!F2:F6)</f>
        <v>#NAME?</v>
      </c>
    </row>
    <row r="10" spans="1:4">
      <c r="A10" s="1" t="s">
        <v>101</v>
      </c>
      <c r="B10" s="5">
        <f>AVERAGE(Responses!B7:B11)</f>
        <v>3.2</v>
      </c>
      <c r="C10" s="1">
        <f>CORREL(Responses!B7:B11,Responses!G7:G11)</f>
        <v>-0.19611613513818402</v>
      </c>
      <c r="D10" s="1" t="e">
        <f ca="1">VAR.S(Responses!B7:B11)</f>
        <v>#NAME?</v>
      </c>
    </row>
    <row r="11" spans="1:4">
      <c r="A11" s="1" t="s">
        <v>102</v>
      </c>
      <c r="B11" s="5">
        <f>AVERAGE(Responses!C7:C11)</f>
        <v>2.8</v>
      </c>
      <c r="C11" s="1">
        <f>CORREL(Responses!C7:C11,Responses!G7:G11)</f>
        <v>-0.32025630761017426</v>
      </c>
      <c r="D11" s="1" t="e">
        <f ca="1">VAR.S(Responses!C7:C11)</f>
        <v>#NAME?</v>
      </c>
    </row>
    <row r="12" spans="1:4">
      <c r="A12" s="1" t="s">
        <v>103</v>
      </c>
      <c r="B12" s="5">
        <f>AVERAGE(Responses!D7:D11)</f>
        <v>3.2</v>
      </c>
      <c r="C12" s="1">
        <f>CORREL(Responses!D7:D11,Responses!G7:G11)</f>
        <v>0.74726471775707315</v>
      </c>
      <c r="D12" s="1" t="e">
        <f ca="1">VAR.S(Responses!D7:D11)</f>
        <v>#NAME?</v>
      </c>
    </row>
    <row r="13" spans="1:4">
      <c r="A13" s="1" t="s">
        <v>104</v>
      </c>
      <c r="B13" s="5">
        <f>AVERAGE(Responses!E7:E11)</f>
        <v>2.6</v>
      </c>
      <c r="C13" s="1">
        <f>CORREL(Responses!E7:E11,Responses!G7:G11)</f>
        <v>-0.78446454055273607</v>
      </c>
      <c r="D13" s="1" t="e">
        <f ca="1">VAR.S(Responses!E7:E11)</f>
        <v>#NAME?</v>
      </c>
    </row>
    <row r="14" spans="1:4">
      <c r="A14" s="1" t="s">
        <v>105</v>
      </c>
      <c r="B14" s="5">
        <f>AVERAGE(Responses!F7:F11)</f>
        <v>1.8</v>
      </c>
      <c r="C14" s="1">
        <f>CORREL(Responses!F7:F11,Responses!G7:G11)</f>
        <v>-0.1009009190994469</v>
      </c>
      <c r="D14" s="1" t="e">
        <f ca="1">VAR.S(Responses!F7:F11)</f>
        <v>#NAME?</v>
      </c>
    </row>
    <row r="15" spans="1:4">
      <c r="A15" s="1" t="s">
        <v>106</v>
      </c>
      <c r="B15" s="5">
        <f>AVERAGE(Responses!B12:B16)</f>
        <v>1.6</v>
      </c>
      <c r="C15" s="1">
        <f>CORREL(Responses!B12:B16,Responses!G12:G16)</f>
        <v>0.61237243569579447</v>
      </c>
      <c r="D15" s="1" t="e">
        <f ca="1">VAR.S(Responses!B12:B16)</f>
        <v>#NAME?</v>
      </c>
    </row>
    <row r="16" spans="1:4">
      <c r="A16" s="1" t="s">
        <v>107</v>
      </c>
      <c r="B16" s="5">
        <f>AVERAGE(Responses!C12:C16)</f>
        <v>3.8</v>
      </c>
      <c r="C16" s="1">
        <f>CORREL(Responses!C12:C16,Responses!G12:G16)</f>
        <v>-0.49099025303098293</v>
      </c>
      <c r="D16" s="1" t="e">
        <f ca="1">VAR.S(Responses!C12:C16)</f>
        <v>#NAME?</v>
      </c>
    </row>
    <row r="17" spans="1:4">
      <c r="A17" s="1" t="s">
        <v>108</v>
      </c>
      <c r="B17" s="5">
        <f>AVERAGE(Responses!D12:D16)</f>
        <v>2</v>
      </c>
      <c r="C17" s="1">
        <f>CORREL(Responses!D12:D16,Responses!G12:G16)</f>
        <v>-0.13176156917368248</v>
      </c>
      <c r="D17" s="1" t="e">
        <f ca="1">VAR.S(Responses!D12:D16)</f>
        <v>#NAME?</v>
      </c>
    </row>
    <row r="18" spans="1:4">
      <c r="A18" s="1" t="s">
        <v>109</v>
      </c>
      <c r="B18" s="5">
        <f>AVERAGE(Responses!E12:E16)</f>
        <v>2.6</v>
      </c>
      <c r="C18" s="1">
        <f>CORREL(Responses!E12:E16,Responses!G12:G16)</f>
        <v>0.66212219197173039</v>
      </c>
      <c r="D18" s="1" t="e">
        <f ca="1">VAR.S(Responses!E12:E16)</f>
        <v>#NAME?</v>
      </c>
    </row>
    <row r="19" spans="1:4">
      <c r="A19" s="1" t="s">
        <v>110</v>
      </c>
      <c r="B19" s="5">
        <f>AVERAGE(Responses!F12:F16)</f>
        <v>2.2000000000000002</v>
      </c>
      <c r="C19" s="1">
        <f>CORREL(Responses!F12:F16,Responses!G12:G16)</f>
        <v>-0.73514704411470522</v>
      </c>
      <c r="D19" s="1" t="e">
        <f ca="1">VAR.S(Responses!F12:F16)</f>
        <v>#NAME?</v>
      </c>
    </row>
    <row r="20" spans="1:4">
      <c r="A20" s="1" t="s">
        <v>111</v>
      </c>
      <c r="B20" s="5">
        <f>AVERAGE(Responses!B17:B21)</f>
        <v>3.2</v>
      </c>
      <c r="C20" s="1">
        <f>CORREL(Responses!B17:B21,Responses!G17:G21)</f>
        <v>4.9029033784545997E-2</v>
      </c>
      <c r="D20" s="1" t="e">
        <f ca="1">VAR.S(Responses!B17:B21)</f>
        <v>#NAME?</v>
      </c>
    </row>
    <row r="21" spans="1:4">
      <c r="A21" s="1" t="s">
        <v>112</v>
      </c>
      <c r="B21" s="5">
        <f>AVERAGE(Responses!C17:C21)</f>
        <v>2.8</v>
      </c>
      <c r="C21" s="1">
        <f>CORREL(Responses!C17:C21,Responses!G17:G21)</f>
        <v>-4.2796049251091282E-2</v>
      </c>
      <c r="D21" s="1" t="e">
        <f ca="1">VAR.S(Responses!C17:C21)</f>
        <v>#NAME?</v>
      </c>
    </row>
    <row r="22" spans="1:4">
      <c r="A22" s="1" t="s">
        <v>113</v>
      </c>
      <c r="B22" s="5">
        <f>AVERAGE(Responses!D17:D21)</f>
        <v>2.8</v>
      </c>
      <c r="C22" s="1">
        <f>CORREL(Responses!D17:D21,Responses!G17:G21)</f>
        <v>0.26906911759852498</v>
      </c>
      <c r="D22" s="1" t="e">
        <f ca="1">VAR.S(Responses!D17:D21)</f>
        <v>#NAME?</v>
      </c>
    </row>
    <row r="23" spans="1:4">
      <c r="A23" s="1" t="s">
        <v>114</v>
      </c>
      <c r="B23" s="5">
        <f>AVERAGE(Responses!E17:E21)</f>
        <v>3.4</v>
      </c>
      <c r="C23" s="1">
        <f>CORREL(Responses!E17:E21,Responses!G17:G21)</f>
        <v>-0.60723067856455226</v>
      </c>
      <c r="D23" s="1" t="e">
        <f ca="1">VAR.S(Responses!E17:E21)</f>
        <v>#NAME?</v>
      </c>
    </row>
    <row r="24" spans="1:4">
      <c r="A24" s="1" t="s">
        <v>115</v>
      </c>
      <c r="B24" s="5">
        <f>AVERAGE(Responses!F17:F21)</f>
        <v>4</v>
      </c>
      <c r="C24" s="1">
        <f>CORREL(Responses!F17:F21,Responses!G17:G21)</f>
        <v>0.53708615552957462</v>
      </c>
      <c r="D24" s="1" t="e">
        <f ca="1">VAR.S(Responses!F17:F21)</f>
        <v>#NAME?</v>
      </c>
    </row>
    <row r="25" spans="1:4">
      <c r="A25" s="1" t="s">
        <v>62</v>
      </c>
      <c r="B25" s="5" t="e">
        <f ca="1">(5/(5-1))*(1 - (SUM(VARIANCE(Responses!B2:B6),VARIANCE(Responses!C2:C6),VARIANCE(Responses!D2:D6),VARIANCE(Responses!E2:E6),VARIANCE(Responses!F2:F6))/VAR.S(Responses!B2:F6)) )</f>
        <v>#NAME?</v>
      </c>
      <c r="C25" s="1"/>
      <c r="D25" s="1"/>
    </row>
  </sheetData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selection activeCell="A7" sqref="A7:F8"/>
    </sheetView>
  </sheetViews>
  <sheetFormatPr defaultRowHeight="15"/>
  <cols>
    <col min="1" max="1" width="81.42578125" customWidth="1"/>
  </cols>
  <sheetData>
    <row r="1" spans="1:6" ht="100.5" customHeight="1">
      <c r="A1" s="7" t="s">
        <v>63</v>
      </c>
      <c r="B1" s="8"/>
      <c r="C1" s="8"/>
      <c r="D1" s="8"/>
      <c r="E1" s="8"/>
      <c r="F1" s="9"/>
    </row>
    <row r="4" spans="1:6">
      <c r="A4" t="s">
        <v>64</v>
      </c>
    </row>
    <row r="5" spans="1:6" ht="51.75" customHeight="1">
      <c r="A5" s="6" t="s">
        <v>65</v>
      </c>
      <c r="B5" s="6"/>
      <c r="C5" s="6"/>
      <c r="D5" s="6"/>
      <c r="E5" s="6"/>
      <c r="F5" s="6"/>
    </row>
  </sheetData>
  <mergeCells count="2">
    <mergeCell ref="A5:F5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ItemBank</vt:lpstr>
      <vt:lpstr>Responses</vt:lpstr>
      <vt:lpstr>Stats</vt:lpstr>
      <vt:lpstr>Help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Luck Way</cp:lastModifiedBy>
  <dcterms:created xsi:type="dcterms:W3CDTF">2025-11-19T17:38:15Z</dcterms:created>
  <dcterms:modified xsi:type="dcterms:W3CDTF">2025-11-25T22:15:28Z</dcterms:modified>
</cp:coreProperties>
</file>