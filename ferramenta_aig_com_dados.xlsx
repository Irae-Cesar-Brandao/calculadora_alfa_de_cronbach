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10215" windowHeight="2775" activeTab="2"/>
  </bookViews>
  <sheets>
    <sheet name="ItemBank" sheetId="1" r:id="rId1"/>
    <sheet name="Responses" sheetId="2" r:id="rId2"/>
    <sheet name="Stats" sheetId="3" r:id="rId3"/>
    <sheet name="Help" sheetId="4" r:id="rId4"/>
  </sheets>
  <calcPr calcId="124519"/>
</workbook>
</file>

<file path=xl/calcChain.xml><?xml version="1.0" encoding="utf-8"?>
<calcChain xmlns="http://schemas.openxmlformats.org/spreadsheetml/2006/main">
  <c r="C9" i="3"/>
  <c r="B9"/>
  <c r="C8"/>
  <c r="B8"/>
  <c r="C7"/>
  <c r="B7"/>
  <c r="C6"/>
  <c r="B6"/>
  <c r="C5"/>
  <c r="B5"/>
  <c r="B3"/>
  <c r="B2"/>
  <c r="D5"/>
  <c r="D6"/>
  <c r="D7"/>
  <c r="B10"/>
  <c r="D9"/>
  <c r="D8"/>
</calcChain>
</file>

<file path=xl/sharedStrings.xml><?xml version="1.0" encoding="utf-8"?>
<sst xmlns="http://schemas.openxmlformats.org/spreadsheetml/2006/main" count="78" uniqueCount="72">
  <si>
    <t>ID</t>
  </si>
  <si>
    <t>Passage</t>
  </si>
  <si>
    <t>Question</t>
  </si>
  <si>
    <t>ChoiceA</t>
  </si>
  <si>
    <t>ChoiceB</t>
  </si>
  <si>
    <t>ChoiceC</t>
  </si>
  <si>
    <t>ChoiceD</t>
  </si>
  <si>
    <t>Correct</t>
  </si>
  <si>
    <t>Difficulty</t>
  </si>
  <si>
    <t>Texto A</t>
  </si>
  <si>
    <t>Qual é a capital da França?</t>
  </si>
  <si>
    <t>Paris</t>
  </si>
  <si>
    <t>Londres</t>
  </si>
  <si>
    <t>Roma</t>
  </si>
  <si>
    <t>Berlim</t>
  </si>
  <si>
    <t>A</t>
  </si>
  <si>
    <t>Easy</t>
  </si>
  <si>
    <t>Texto B</t>
  </si>
  <si>
    <t>2 + 2 = ?</t>
  </si>
  <si>
    <t>3</t>
  </si>
  <si>
    <t>4</t>
  </si>
  <si>
    <t>5</t>
  </si>
  <si>
    <t>6</t>
  </si>
  <si>
    <t>B</t>
  </si>
  <si>
    <t>Texto C</t>
  </si>
  <si>
    <t>Quem descobriu o Brasil?</t>
  </si>
  <si>
    <t>Cabral</t>
  </si>
  <si>
    <t>Colombo</t>
  </si>
  <si>
    <t>Vespucci</t>
  </si>
  <si>
    <t>Magalhães</t>
  </si>
  <si>
    <t>Medium</t>
  </si>
  <si>
    <t>Texto D</t>
  </si>
  <si>
    <t>O Sol é uma...</t>
  </si>
  <si>
    <t>Estrela</t>
  </si>
  <si>
    <t>Galáxia</t>
  </si>
  <si>
    <t>Lua</t>
  </si>
  <si>
    <t>Nebulosa</t>
  </si>
  <si>
    <t>Texto E</t>
  </si>
  <si>
    <t>Água é composta por...</t>
  </si>
  <si>
    <t>H2O</t>
  </si>
  <si>
    <t>CO2</t>
  </si>
  <si>
    <t>O2</t>
  </si>
  <si>
    <t>NaCl</t>
  </si>
  <si>
    <t>Student</t>
  </si>
  <si>
    <t>Item1</t>
  </si>
  <si>
    <t>Item2</t>
  </si>
  <si>
    <t>Item3</t>
  </si>
  <si>
    <t>Item4</t>
  </si>
  <si>
    <t>Item5</t>
  </si>
  <si>
    <t>Total</t>
  </si>
  <si>
    <t>Ana Silva</t>
  </si>
  <si>
    <t>Bruno Souza</t>
  </si>
  <si>
    <t>Carla Dias</t>
  </si>
  <si>
    <t>Diego Lima</t>
  </si>
  <si>
    <t>Elisa Rocha</t>
  </si>
  <si>
    <t>Metric</t>
  </si>
  <si>
    <t>Value</t>
  </si>
  <si>
    <t>Number_of_Items</t>
  </si>
  <si>
    <t>Participants</t>
  </si>
  <si>
    <t>Item</t>
  </si>
  <si>
    <t>p_value</t>
  </si>
  <si>
    <t>Discrimination</t>
  </si>
  <si>
    <t>Variance</t>
  </si>
  <si>
    <t>Item 1</t>
  </si>
  <si>
    <t>Item 2</t>
  </si>
  <si>
    <t>Item 3</t>
  </si>
  <si>
    <t>Item 4</t>
  </si>
  <si>
    <t>Item 5</t>
  </si>
  <si>
    <t>Cronbach_Alpha</t>
  </si>
  <si>
    <t xml:space="preserve">INSTRUÇÕES:
- ItemBank contém 5 itens de exemplo.
- Responses traz 5 estudantes fictícios com respostas 1/0.
- Stats calcula p-value, discriminação, variância e alfa de Cronbach.
- Você pode editar itens ou respostas livremente.
</t>
  </si>
  <si>
    <t>References</t>
  </si>
  <si>
    <t>O Coeficiente Alfa de Cronbach (α ) é uma medida comumente utilizada de confiabilidade (ou seja, a avaliação da consistência interna dos questionários) para um conjunto de dois ou mais indicadores de construto (BLAND; ALTMAN, 1997).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</si>
</sst>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justify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G12" sqref="G12"/>
    </sheetView>
  </sheetViews>
  <sheetFormatPr defaultRowHeight="15"/>
  <cols>
    <col min="1" max="1" width="10.85546875" customWidth="1"/>
    <col min="2" max="2" width="12.7109375" customWidth="1"/>
    <col min="3" max="3" width="34.85546875" customWidth="1"/>
    <col min="4" max="4" width="24" customWidth="1"/>
    <col min="5" max="5" width="13.28515625" customWidth="1"/>
    <col min="6" max="6" width="13.85546875" customWidth="1"/>
    <col min="7" max="7" width="14.42578125" customWidth="1"/>
    <col min="8" max="8" width="11.28515625" customWidth="1"/>
    <col min="9" max="9" width="10.7109375" customWidth="1"/>
  </cols>
  <sheetData>
    <row r="1" spans="1:9">
      <c r="A1" s="8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9">
        <v>1</v>
      </c>
      <c r="B2" s="9" t="s">
        <v>9</v>
      </c>
      <c r="C2" s="1" t="s">
        <v>10</v>
      </c>
      <c r="D2" s="1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</row>
    <row r="3" spans="1:9">
      <c r="A3" s="9">
        <v>2</v>
      </c>
      <c r="B3" s="9" t="s">
        <v>17</v>
      </c>
      <c r="C3" s="1" t="s">
        <v>18</v>
      </c>
      <c r="D3" s="1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16</v>
      </c>
    </row>
    <row r="4" spans="1:9">
      <c r="A4" s="9">
        <v>3</v>
      </c>
      <c r="B4" s="9" t="s">
        <v>24</v>
      </c>
      <c r="C4" s="1" t="s">
        <v>25</v>
      </c>
      <c r="D4" s="1" t="s">
        <v>26</v>
      </c>
      <c r="E4" s="9" t="s">
        <v>27</v>
      </c>
      <c r="F4" s="9" t="s">
        <v>28</v>
      </c>
      <c r="G4" s="9" t="s">
        <v>29</v>
      </c>
      <c r="H4" s="9" t="s">
        <v>15</v>
      </c>
      <c r="I4" s="9" t="s">
        <v>30</v>
      </c>
    </row>
    <row r="5" spans="1:9">
      <c r="A5" s="9">
        <v>4</v>
      </c>
      <c r="B5" s="9" t="s">
        <v>31</v>
      </c>
      <c r="C5" s="1" t="s">
        <v>32</v>
      </c>
      <c r="D5" s="1" t="s">
        <v>33</v>
      </c>
      <c r="E5" s="9" t="s">
        <v>34</v>
      </c>
      <c r="F5" s="9" t="s">
        <v>35</v>
      </c>
      <c r="G5" s="9" t="s">
        <v>36</v>
      </c>
      <c r="H5" s="9" t="s">
        <v>15</v>
      </c>
      <c r="I5" s="9" t="s">
        <v>30</v>
      </c>
    </row>
    <row r="6" spans="1:9">
      <c r="A6" s="9">
        <v>5</v>
      </c>
      <c r="B6" s="9" t="s">
        <v>37</v>
      </c>
      <c r="C6" s="1" t="s">
        <v>38</v>
      </c>
      <c r="D6" s="1" t="s">
        <v>39</v>
      </c>
      <c r="E6" s="9" t="s">
        <v>40</v>
      </c>
      <c r="F6" s="9" t="s">
        <v>41</v>
      </c>
      <c r="G6" s="9" t="s">
        <v>42</v>
      </c>
      <c r="H6" s="9" t="s">
        <v>15</v>
      </c>
      <c r="I6" s="9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B1" sqref="B1:G1"/>
    </sheetView>
  </sheetViews>
  <sheetFormatPr defaultRowHeight="15"/>
  <cols>
    <col min="1" max="1" width="21.5703125" customWidth="1"/>
    <col min="2" max="2" width="14.42578125" customWidth="1"/>
  </cols>
  <sheetData>
    <row r="1" spans="1:7">
      <c r="A1" s="2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</row>
    <row r="2" spans="1:7">
      <c r="A2" s="1" t="s">
        <v>50</v>
      </c>
      <c r="B2" s="9">
        <v>1</v>
      </c>
      <c r="C2" s="9">
        <v>1</v>
      </c>
      <c r="D2" s="9">
        <v>1</v>
      </c>
      <c r="E2" s="9">
        <v>0</v>
      </c>
      <c r="F2" s="9">
        <v>1</v>
      </c>
      <c r="G2" s="9">
        <v>4</v>
      </c>
    </row>
    <row r="3" spans="1:7">
      <c r="A3" s="1" t="s">
        <v>51</v>
      </c>
      <c r="B3" s="9">
        <v>1</v>
      </c>
      <c r="C3" s="9">
        <v>0</v>
      </c>
      <c r="D3" s="9">
        <v>1</v>
      </c>
      <c r="E3" s="9">
        <v>1</v>
      </c>
      <c r="F3" s="9">
        <v>1</v>
      </c>
      <c r="G3" s="9">
        <v>4</v>
      </c>
    </row>
    <row r="4" spans="1:7">
      <c r="A4" s="1" t="s">
        <v>52</v>
      </c>
      <c r="B4" s="9">
        <v>0</v>
      </c>
      <c r="C4" s="9">
        <v>1</v>
      </c>
      <c r="D4" s="9">
        <v>1</v>
      </c>
      <c r="E4" s="9">
        <v>0</v>
      </c>
      <c r="F4" s="9">
        <v>1</v>
      </c>
      <c r="G4" s="9">
        <v>3</v>
      </c>
    </row>
    <row r="5" spans="1:7">
      <c r="A5" s="1" t="s">
        <v>53</v>
      </c>
      <c r="B5" s="9">
        <v>1</v>
      </c>
      <c r="C5" s="9">
        <v>1</v>
      </c>
      <c r="D5" s="9">
        <v>0</v>
      </c>
      <c r="E5" s="9">
        <v>1</v>
      </c>
      <c r="F5" s="9">
        <v>0</v>
      </c>
      <c r="G5" s="9">
        <v>3</v>
      </c>
    </row>
    <row r="6" spans="1:7">
      <c r="A6" s="1" t="s">
        <v>54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E2" sqref="E2"/>
    </sheetView>
  </sheetViews>
  <sheetFormatPr defaultRowHeight="15"/>
  <cols>
    <col min="1" max="1" width="18.42578125" customWidth="1"/>
    <col min="2" max="2" width="16" customWidth="1"/>
    <col min="3" max="3" width="22.140625" customWidth="1"/>
    <col min="4" max="4" width="21" customWidth="1"/>
  </cols>
  <sheetData>
    <row r="1" spans="1:4">
      <c r="A1" s="2" t="s">
        <v>55</v>
      </c>
      <c r="B1" s="8" t="s">
        <v>56</v>
      </c>
      <c r="C1" s="3"/>
      <c r="D1" s="3"/>
    </row>
    <row r="2" spans="1:4">
      <c r="A2" s="1" t="s">
        <v>57</v>
      </c>
      <c r="B2" s="9">
        <f>COUNTA(ItemBank!A:A)-1</f>
        <v>5</v>
      </c>
      <c r="C2" s="3"/>
      <c r="D2" s="3"/>
    </row>
    <row r="3" spans="1:4">
      <c r="A3" s="1" t="s">
        <v>58</v>
      </c>
      <c r="B3" s="9">
        <f>COUNTA(Responses!A:A)-1</f>
        <v>5</v>
      </c>
      <c r="C3" s="3"/>
      <c r="D3" s="3"/>
    </row>
    <row r="4" spans="1:4">
      <c r="A4" s="2" t="s">
        <v>59</v>
      </c>
      <c r="B4" s="8" t="s">
        <v>60</v>
      </c>
      <c r="C4" s="2" t="s">
        <v>61</v>
      </c>
      <c r="D4" s="2" t="s">
        <v>62</v>
      </c>
    </row>
    <row r="5" spans="1:4">
      <c r="A5" s="1" t="s">
        <v>63</v>
      </c>
      <c r="B5" s="9">
        <f>AVERAGE(Responses!B2:B6)</f>
        <v>0.8</v>
      </c>
      <c r="C5" s="1">
        <f>CORREL(Responses!B2:B6,Responses!G2:G6)</f>
        <v>0.53452248382484879</v>
      </c>
      <c r="D5" s="1" t="e">
        <f ca="1">VAR.S(Responses!B2:B6)</f>
        <v>#NAME?</v>
      </c>
    </row>
    <row r="6" spans="1:4">
      <c r="A6" s="1" t="s">
        <v>64</v>
      </c>
      <c r="B6" s="9">
        <f>AVERAGE(Responses!C2:C6)</f>
        <v>0.8</v>
      </c>
      <c r="C6" s="1">
        <f>CORREL(Responses!C2:C6,Responses!G2:G6)</f>
        <v>-0.13363062095621217</v>
      </c>
      <c r="D6" s="1" t="e">
        <f ca="1">VAR.S(Responses!C2:C6)</f>
        <v>#NAME?</v>
      </c>
    </row>
    <row r="7" spans="1:4">
      <c r="A7" s="1" t="s">
        <v>65</v>
      </c>
      <c r="B7" s="9">
        <f>AVERAGE(Responses!D2:D6)</f>
        <v>0.8</v>
      </c>
      <c r="C7" s="1">
        <f>CORREL(Responses!D2:D6,Responses!G2:G6)</f>
        <v>0.53452248382484879</v>
      </c>
      <c r="D7" s="1" t="e">
        <f ca="1">VAR.S(Responses!D2:D6)</f>
        <v>#NAME?</v>
      </c>
    </row>
    <row r="8" spans="1:4">
      <c r="A8" s="1" t="s">
        <v>66</v>
      </c>
      <c r="B8" s="9">
        <f>AVERAGE(Responses!E2:E6)</f>
        <v>0.6</v>
      </c>
      <c r="C8" s="1">
        <f>CORREL(Responses!E2:E6,Responses!G2:G6)</f>
        <v>0.32732683535398854</v>
      </c>
      <c r="D8" s="1" t="e">
        <f ca="1">VAR.S(Responses!E2:E6)</f>
        <v>#NAME?</v>
      </c>
    </row>
    <row r="9" spans="1:4">
      <c r="A9" s="1" t="s">
        <v>67</v>
      </c>
      <c r="B9" s="9">
        <f>AVERAGE(Responses!F2:F6)</f>
        <v>0.8</v>
      </c>
      <c r="C9" s="1">
        <f>CORREL(Responses!F2:F6,Responses!G2:G6)</f>
        <v>0.53452248382484879</v>
      </c>
      <c r="D9" s="1" t="e">
        <f ca="1">VAR.S(Responses!F2:F6)</f>
        <v>#NAME?</v>
      </c>
    </row>
    <row r="10" spans="1:4">
      <c r="A10" s="1" t="s">
        <v>68</v>
      </c>
      <c r="B10" s="9" t="e">
        <f ca="1">(5/(5-1))*(1 - (SUM(VARIANCE(Responses!B2:B6),VARIANCE(Responses!C2:C6),VARIANCE(Responses!D2:D6),VARIANCE(Responses!E2:E6),VARIANCE(Responses!F2:F6))/VAR.S(Responses!B2:F6)) )</f>
        <v>#NAME?</v>
      </c>
      <c r="C10" s="1"/>
      <c r="D10" s="1"/>
    </row>
  </sheetData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A7" sqref="A7:F8"/>
    </sheetView>
  </sheetViews>
  <sheetFormatPr defaultRowHeight="15"/>
  <cols>
    <col min="1" max="1" width="81.42578125" customWidth="1"/>
  </cols>
  <sheetData>
    <row r="1" spans="1:6" ht="100.5" customHeight="1">
      <c r="A1" s="5" t="s">
        <v>69</v>
      </c>
      <c r="B1" s="6"/>
      <c r="C1" s="6"/>
      <c r="D1" s="6"/>
      <c r="E1" s="6"/>
      <c r="F1" s="7"/>
    </row>
    <row r="4" spans="1:6">
      <c r="A4" t="s">
        <v>70</v>
      </c>
    </row>
    <row r="5" spans="1:6" ht="51.75" customHeight="1">
      <c r="A5" s="4" t="s">
        <v>71</v>
      </c>
      <c r="B5" s="4"/>
      <c r="C5" s="4"/>
      <c r="D5" s="4"/>
      <c r="E5" s="4"/>
      <c r="F5" s="4"/>
    </row>
  </sheetData>
  <mergeCells count="2">
    <mergeCell ref="A5:F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ItemBank</vt:lpstr>
      <vt:lpstr>Responses</vt:lpstr>
      <vt:lpstr>Stats</vt:lpstr>
      <vt:lpstr>Help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Luck Way</cp:lastModifiedBy>
  <dcterms:created xsi:type="dcterms:W3CDTF">2025-11-19T17:38:15Z</dcterms:created>
  <dcterms:modified xsi:type="dcterms:W3CDTF">2025-11-21T20:04:40Z</dcterms:modified>
</cp:coreProperties>
</file>