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240" yWindow="495" windowWidth="10215" windowHeight="2775" activeTab="1"/>
  </bookViews>
  <sheets>
    <sheet name="ItemBank" sheetId="1" r:id="rId1"/>
    <sheet name="Responses" sheetId="2" r:id="rId2"/>
    <sheet name="Stats" sheetId="3" r:id="rId3"/>
    <sheet name="Help" sheetId="4" r:id="rId4"/>
  </sheets>
  <calcPr calcId="124519"/>
</workbook>
</file>

<file path=xl/calcChain.xml><?xml version="1.0" encoding="utf-8"?>
<calcChain xmlns="http://schemas.openxmlformats.org/spreadsheetml/2006/main">
  <c r="E24" i="3"/>
  <c r="D24"/>
  <c r="C24"/>
  <c r="B24"/>
  <c r="E23"/>
  <c r="D23"/>
  <c r="C23"/>
  <c r="B23"/>
  <c r="E22"/>
  <c r="D22"/>
  <c r="C22"/>
  <c r="B22"/>
  <c r="E21"/>
  <c r="D21"/>
  <c r="C21"/>
  <c r="B21"/>
  <c r="E20"/>
  <c r="D20"/>
  <c r="C20"/>
  <c r="B20"/>
  <c r="E19"/>
  <c r="D19"/>
  <c r="C19"/>
  <c r="B19"/>
  <c r="E18"/>
  <c r="D18"/>
  <c r="C18"/>
  <c r="B18"/>
  <c r="E17"/>
  <c r="D17"/>
  <c r="C17"/>
  <c r="B17"/>
  <c r="E16"/>
  <c r="D16"/>
  <c r="C16"/>
  <c r="B16"/>
  <c r="E15"/>
  <c r="D15"/>
  <c r="C15"/>
  <c r="B15"/>
  <c r="E6"/>
  <c r="E7"/>
  <c r="E8"/>
  <c r="E9"/>
  <c r="E10"/>
  <c r="E11"/>
  <c r="E12"/>
  <c r="E13"/>
  <c r="E14"/>
  <c r="E5"/>
  <c r="D14"/>
  <c r="C14"/>
  <c r="B14"/>
  <c r="D13"/>
  <c r="C13"/>
  <c r="B13"/>
  <c r="D12"/>
  <c r="C12"/>
  <c r="B12"/>
  <c r="D11"/>
  <c r="C11"/>
  <c r="B11"/>
  <c r="D10"/>
  <c r="C10"/>
  <c r="B10"/>
  <c r="C5"/>
  <c r="B9"/>
  <c r="B8"/>
  <c r="B7"/>
  <c r="B6"/>
  <c r="B5"/>
  <c r="B3"/>
  <c r="B2"/>
  <c r="D8"/>
  <c r="D9"/>
  <c r="B25"/>
  <c r="D7"/>
  <c r="D6"/>
  <c r="D5"/>
  <c r="C7" l="1"/>
  <c r="C8"/>
  <c r="C6"/>
  <c r="C9"/>
</calcChain>
</file>

<file path=xl/sharedStrings.xml><?xml version="1.0" encoding="utf-8"?>
<sst xmlns="http://schemas.openxmlformats.org/spreadsheetml/2006/main" count="244" uniqueCount="105">
  <si>
    <t>ID</t>
  </si>
  <si>
    <t>Passage</t>
  </si>
  <si>
    <t>Question</t>
  </si>
  <si>
    <t>ChoiceA</t>
  </si>
  <si>
    <t>ChoiceB</t>
  </si>
  <si>
    <t>ChoiceC</t>
  </si>
  <si>
    <t>ChoiceD</t>
  </si>
  <si>
    <t>Correct</t>
  </si>
  <si>
    <t>Difficulty</t>
  </si>
  <si>
    <t>Texto A</t>
  </si>
  <si>
    <t>Qual é a capital da França?</t>
  </si>
  <si>
    <t>Paris</t>
  </si>
  <si>
    <t>Londres</t>
  </si>
  <si>
    <t>Roma</t>
  </si>
  <si>
    <t>Berlim</t>
  </si>
  <si>
    <t>A</t>
  </si>
  <si>
    <t>Easy</t>
  </si>
  <si>
    <t>Texto B</t>
  </si>
  <si>
    <t>2 + 2 = ?</t>
  </si>
  <si>
    <t>3</t>
  </si>
  <si>
    <t>4</t>
  </si>
  <si>
    <t>5</t>
  </si>
  <si>
    <t>6</t>
  </si>
  <si>
    <t>B</t>
  </si>
  <si>
    <t>Texto C</t>
  </si>
  <si>
    <t>Quem descobriu o Brasil?</t>
  </si>
  <si>
    <t>Cabral</t>
  </si>
  <si>
    <t>Colombo</t>
  </si>
  <si>
    <t>Vespucci</t>
  </si>
  <si>
    <t>Magalhães</t>
  </si>
  <si>
    <t>Medium</t>
  </si>
  <si>
    <t>Texto D</t>
  </si>
  <si>
    <t>O Sol é uma...</t>
  </si>
  <si>
    <t>Estrela</t>
  </si>
  <si>
    <t>Galáxia</t>
  </si>
  <si>
    <t>Lua</t>
  </si>
  <si>
    <t>Nebulosa</t>
  </si>
  <si>
    <t>Texto E</t>
  </si>
  <si>
    <t>Água é composta por...</t>
  </si>
  <si>
    <t>H2O</t>
  </si>
  <si>
    <t>CO2</t>
  </si>
  <si>
    <t>O2</t>
  </si>
  <si>
    <t>NaCl</t>
  </si>
  <si>
    <t>Student</t>
  </si>
  <si>
    <t>Item1</t>
  </si>
  <si>
    <t>Item2</t>
  </si>
  <si>
    <t>Item3</t>
  </si>
  <si>
    <t>Item4</t>
  </si>
  <si>
    <t>Item5</t>
  </si>
  <si>
    <t>Total</t>
  </si>
  <si>
    <t>Metric</t>
  </si>
  <si>
    <t>Value</t>
  </si>
  <si>
    <t>Number_of_Items</t>
  </si>
  <si>
    <t>Participants</t>
  </si>
  <si>
    <t>Item</t>
  </si>
  <si>
    <t>p_value</t>
  </si>
  <si>
    <t>Discrimination</t>
  </si>
  <si>
    <t>Variance</t>
  </si>
  <si>
    <t>Item 1</t>
  </si>
  <si>
    <t>Item 2</t>
  </si>
  <si>
    <t>Item 3</t>
  </si>
  <si>
    <t>Item 4</t>
  </si>
  <si>
    <t>Item 5</t>
  </si>
  <si>
    <t>Cronbach_Alpha</t>
  </si>
  <si>
    <t xml:space="preserve">INSTRUÇÕES:
- ItemBank contém 5 itens de exemplo.
- Responses traz 5 estudantes fictícios com respostas 1/0.
- Stats calcula p-value, discriminação, variância e alfa de Cronbach.
- Você pode editar itens ou respostas livremente.
</t>
  </si>
  <si>
    <t>References</t>
  </si>
  <si>
    <t>O Coeficiente Alfa de Cronbach (α ) é uma medida comumente utilizada de confiabilidade (ou seja, a avaliação da consistência interna dos questionários) para um conjunto de dois ou mais indicadores de construto (BLAND; ALTMAN, 1997).</t>
  </si>
  <si>
    <t>Item 6</t>
  </si>
  <si>
    <t>Item 7</t>
  </si>
  <si>
    <t>Item 8</t>
  </si>
  <si>
    <t>Item 9</t>
  </si>
  <si>
    <t>Item 10</t>
  </si>
  <si>
    <t>OBS: Para inserrir linhas basta ir na ultima célula (Cronbach_Alpha</t>
  </si>
  <si>
    <t>selecionar linhas abaixo e ir coma direita em iserir linhas, más é vinculado</t>
  </si>
  <si>
    <t>a tabela responses, portanto, deverá, na mesma quantidade inserir novas</t>
  </si>
  <si>
    <t>OBS: Para inserrir linhas basta copiar células de cima (par manter o padrão ) e colar abaixo na</t>
  </si>
  <si>
    <t xml:space="preserve">(nas linhas abaixo) e ir com a direita  nas linhas que quer (antes ir nas superiores e copiar) </t>
  </si>
  <si>
    <t>e colar abaixo. Tem também de ajustar a tabela responses, portanto,</t>
  </si>
  <si>
    <t xml:space="preserve"> deverá, e também na tabela Stats.</t>
  </si>
  <si>
    <t>questões ao ìtemBank a partir da ultima linha</t>
  </si>
  <si>
    <t>e colar abaixo. Tem também de ajustar a Tabela itenBank, portanto,</t>
  </si>
  <si>
    <t>Aluno  (Nome) 1</t>
  </si>
  <si>
    <t>Aluno  (Nome) 2</t>
  </si>
  <si>
    <t>Aluno  (Nome) 3</t>
  </si>
  <si>
    <t>Aluno  (Nome) 4</t>
  </si>
  <si>
    <t>Aluno  (Nome) 5</t>
  </si>
  <si>
    <t>Aluno  (Nome) 6</t>
  </si>
  <si>
    <t>Aluno  (Nome) 7</t>
  </si>
  <si>
    <t>Aluno  (Nome) 8</t>
  </si>
  <si>
    <t>Aluno  (Nome) 9</t>
  </si>
  <si>
    <t>Aluno  (Nome) 10</t>
  </si>
  <si>
    <t>Aluno</t>
  </si>
  <si>
    <t>TABELA ItemBank</t>
  </si>
  <si>
    <t>TABELA Responses</t>
  </si>
  <si>
    <t>TABELA Stats</t>
  </si>
  <si>
    <t>Aluno  (Nome) 11</t>
  </si>
  <si>
    <t>Aluno  (Nome) 12</t>
  </si>
  <si>
    <t>Aluno  (Nome) 13</t>
  </si>
  <si>
    <t>Aluno  (Nome) 14</t>
  </si>
  <si>
    <t>Aluno  (Nome) 15</t>
  </si>
  <si>
    <t>Aluno  (Nome) 16</t>
  </si>
  <si>
    <t>Aluno  (Nome) 17</t>
  </si>
  <si>
    <t>Aluno  (Nome) 18</t>
  </si>
  <si>
    <t>Aluno  (Nome) 19</t>
  </si>
  <si>
    <t>Aluno  (Nome) 20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</si>
</sst>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0" xfId="0" applyBorder="1"/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left" wrapText="1"/>
    </xf>
    <xf numFmtId="0" fontId="0" fillId="0" borderId="3" xfId="0" applyBorder="1" applyAlignment="1">
      <alignment horizontal="left" wrapText="1"/>
    </xf>
    <xf numFmtId="0" fontId="0" fillId="0" borderId="4" xfId="0" applyBorder="1" applyAlignment="1">
      <alignment horizontal="left" wrapText="1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0" borderId="4" xfId="0" applyBorder="1" applyAlignment="1">
      <alignment vertical="top" wrapText="1"/>
    </xf>
    <xf numFmtId="0" fontId="0" fillId="0" borderId="0" xfId="0" applyBorder="1" applyAlignment="1">
      <alignment vertical="top" wrapText="1"/>
    </xf>
    <xf numFmtId="0" fontId="0" fillId="0" borderId="5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1"/>
  <sheetViews>
    <sheetView topLeftCell="A4" workbookViewId="0">
      <selection activeCell="C24" sqref="C24"/>
    </sheetView>
  </sheetViews>
  <sheetFormatPr defaultRowHeight="15"/>
  <cols>
    <col min="1" max="1" width="10.85546875" customWidth="1"/>
    <col min="2" max="2" width="12.7109375" customWidth="1"/>
    <col min="3" max="3" width="34.85546875" customWidth="1"/>
    <col min="4" max="4" width="24" customWidth="1"/>
    <col min="5" max="5" width="13.28515625" customWidth="1"/>
    <col min="6" max="6" width="13.85546875" customWidth="1"/>
    <col min="7" max="7" width="14.42578125" customWidth="1"/>
    <col min="8" max="8" width="11.28515625" customWidth="1"/>
    <col min="9" max="9" width="10.7109375" customWidth="1"/>
  </cols>
  <sheetData>
    <row r="1" spans="1:9">
      <c r="A1" s="4" t="s">
        <v>0</v>
      </c>
      <c r="B1" s="4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s="5">
        <v>1</v>
      </c>
      <c r="B2" s="5" t="s">
        <v>9</v>
      </c>
      <c r="C2" s="1" t="s">
        <v>10</v>
      </c>
      <c r="D2" s="1" t="s">
        <v>11</v>
      </c>
      <c r="E2" s="5" t="s">
        <v>12</v>
      </c>
      <c r="F2" s="5" t="s">
        <v>13</v>
      </c>
      <c r="G2" s="5" t="s">
        <v>14</v>
      </c>
      <c r="H2" s="5" t="s">
        <v>15</v>
      </c>
      <c r="I2" s="5" t="s">
        <v>16</v>
      </c>
    </row>
    <row r="3" spans="1:9">
      <c r="A3" s="5">
        <v>2</v>
      </c>
      <c r="B3" s="5" t="s">
        <v>17</v>
      </c>
      <c r="C3" s="1" t="s">
        <v>18</v>
      </c>
      <c r="D3" s="1" t="s">
        <v>19</v>
      </c>
      <c r="E3" s="5" t="s">
        <v>20</v>
      </c>
      <c r="F3" s="5" t="s">
        <v>21</v>
      </c>
      <c r="G3" s="5" t="s">
        <v>22</v>
      </c>
      <c r="H3" s="5" t="s">
        <v>23</v>
      </c>
      <c r="I3" s="5" t="s">
        <v>16</v>
      </c>
    </row>
    <row r="4" spans="1:9">
      <c r="A4" s="5">
        <v>3</v>
      </c>
      <c r="B4" s="5" t="s">
        <v>24</v>
      </c>
      <c r="C4" s="1" t="s">
        <v>25</v>
      </c>
      <c r="D4" s="1" t="s">
        <v>26</v>
      </c>
      <c r="E4" s="5" t="s">
        <v>27</v>
      </c>
      <c r="F4" s="5" t="s">
        <v>28</v>
      </c>
      <c r="G4" s="5" t="s">
        <v>29</v>
      </c>
      <c r="H4" s="5" t="s">
        <v>15</v>
      </c>
      <c r="I4" s="5" t="s">
        <v>30</v>
      </c>
    </row>
    <row r="5" spans="1:9">
      <c r="A5" s="5">
        <v>4</v>
      </c>
      <c r="B5" s="5" t="s">
        <v>31</v>
      </c>
      <c r="C5" s="1" t="s">
        <v>32</v>
      </c>
      <c r="D5" s="1" t="s">
        <v>33</v>
      </c>
      <c r="E5" s="5" t="s">
        <v>34</v>
      </c>
      <c r="F5" s="5" t="s">
        <v>35</v>
      </c>
      <c r="G5" s="5" t="s">
        <v>36</v>
      </c>
      <c r="H5" s="5" t="s">
        <v>15</v>
      </c>
      <c r="I5" s="5" t="s">
        <v>30</v>
      </c>
    </row>
    <row r="6" spans="1:9">
      <c r="A6" s="5">
        <v>5</v>
      </c>
      <c r="B6" s="5" t="s">
        <v>37</v>
      </c>
      <c r="C6" s="1" t="s">
        <v>38</v>
      </c>
      <c r="D6" s="1" t="s">
        <v>39</v>
      </c>
      <c r="E6" s="5" t="s">
        <v>40</v>
      </c>
      <c r="F6" s="5" t="s">
        <v>41</v>
      </c>
      <c r="G6" s="5" t="s">
        <v>42</v>
      </c>
      <c r="H6" s="5" t="s">
        <v>15</v>
      </c>
      <c r="I6" s="5" t="s">
        <v>16</v>
      </c>
    </row>
    <row r="7" spans="1:9">
      <c r="A7" s="5">
        <v>6</v>
      </c>
      <c r="B7" s="5" t="s">
        <v>9</v>
      </c>
      <c r="C7" s="1" t="s">
        <v>10</v>
      </c>
      <c r="D7" s="1" t="s">
        <v>11</v>
      </c>
      <c r="E7" s="5" t="s">
        <v>12</v>
      </c>
      <c r="F7" s="5" t="s">
        <v>13</v>
      </c>
      <c r="G7" s="5" t="s">
        <v>14</v>
      </c>
      <c r="H7" s="5" t="s">
        <v>15</v>
      </c>
      <c r="I7" s="5" t="s">
        <v>16</v>
      </c>
    </row>
    <row r="8" spans="1:9">
      <c r="A8" s="5">
        <v>7</v>
      </c>
      <c r="B8" s="5" t="s">
        <v>17</v>
      </c>
      <c r="C8" s="1" t="s">
        <v>18</v>
      </c>
      <c r="D8" s="1" t="s">
        <v>19</v>
      </c>
      <c r="E8" s="5" t="s">
        <v>20</v>
      </c>
      <c r="F8" s="5" t="s">
        <v>21</v>
      </c>
      <c r="G8" s="5" t="s">
        <v>22</v>
      </c>
      <c r="H8" s="5" t="s">
        <v>23</v>
      </c>
      <c r="I8" s="5" t="s">
        <v>16</v>
      </c>
    </row>
    <row r="9" spans="1:9">
      <c r="A9" s="5">
        <v>8</v>
      </c>
      <c r="B9" s="5" t="s">
        <v>24</v>
      </c>
      <c r="C9" s="1" t="s">
        <v>25</v>
      </c>
      <c r="D9" s="1" t="s">
        <v>26</v>
      </c>
      <c r="E9" s="5" t="s">
        <v>27</v>
      </c>
      <c r="F9" s="5" t="s">
        <v>28</v>
      </c>
      <c r="G9" s="5" t="s">
        <v>29</v>
      </c>
      <c r="H9" s="5" t="s">
        <v>15</v>
      </c>
      <c r="I9" s="5" t="s">
        <v>30</v>
      </c>
    </row>
    <row r="10" spans="1:9">
      <c r="A10" s="5">
        <v>9</v>
      </c>
      <c r="B10" s="5" t="s">
        <v>31</v>
      </c>
      <c r="C10" s="1" t="s">
        <v>32</v>
      </c>
      <c r="D10" s="1" t="s">
        <v>33</v>
      </c>
      <c r="E10" s="5" t="s">
        <v>34</v>
      </c>
      <c r="F10" s="5" t="s">
        <v>35</v>
      </c>
      <c r="G10" s="5" t="s">
        <v>36</v>
      </c>
      <c r="H10" s="5" t="s">
        <v>15</v>
      </c>
      <c r="I10" s="5" t="s">
        <v>30</v>
      </c>
    </row>
    <row r="11" spans="1:9">
      <c r="A11" s="5">
        <v>10</v>
      </c>
      <c r="B11" s="5" t="s">
        <v>37</v>
      </c>
      <c r="C11" s="1" t="s">
        <v>38</v>
      </c>
      <c r="D11" s="1" t="s">
        <v>39</v>
      </c>
      <c r="E11" s="5" t="s">
        <v>40</v>
      </c>
      <c r="F11" s="5" t="s">
        <v>41</v>
      </c>
      <c r="G11" s="5" t="s">
        <v>42</v>
      </c>
      <c r="H11" s="5" t="s">
        <v>15</v>
      </c>
      <c r="I11" s="5" t="s">
        <v>16</v>
      </c>
    </row>
    <row r="12" spans="1:9">
      <c r="A12" s="5">
        <v>11</v>
      </c>
      <c r="B12" s="5" t="s">
        <v>9</v>
      </c>
      <c r="C12" s="1" t="s">
        <v>10</v>
      </c>
      <c r="D12" s="1" t="s">
        <v>11</v>
      </c>
      <c r="E12" s="5" t="s">
        <v>12</v>
      </c>
      <c r="F12" s="5" t="s">
        <v>13</v>
      </c>
      <c r="G12" s="5" t="s">
        <v>14</v>
      </c>
      <c r="H12" s="5" t="s">
        <v>15</v>
      </c>
      <c r="I12" s="5" t="s">
        <v>16</v>
      </c>
    </row>
    <row r="13" spans="1:9">
      <c r="A13" s="5">
        <v>12</v>
      </c>
      <c r="B13" s="5" t="s">
        <v>17</v>
      </c>
      <c r="C13" s="1" t="s">
        <v>18</v>
      </c>
      <c r="D13" s="1" t="s">
        <v>19</v>
      </c>
      <c r="E13" s="5" t="s">
        <v>20</v>
      </c>
      <c r="F13" s="5" t="s">
        <v>21</v>
      </c>
      <c r="G13" s="5" t="s">
        <v>22</v>
      </c>
      <c r="H13" s="5" t="s">
        <v>23</v>
      </c>
      <c r="I13" s="5" t="s">
        <v>16</v>
      </c>
    </row>
    <row r="14" spans="1:9">
      <c r="A14" s="5">
        <v>13</v>
      </c>
      <c r="B14" s="5" t="s">
        <v>24</v>
      </c>
      <c r="C14" s="1" t="s">
        <v>25</v>
      </c>
      <c r="D14" s="1" t="s">
        <v>26</v>
      </c>
      <c r="E14" s="5" t="s">
        <v>27</v>
      </c>
      <c r="F14" s="5" t="s">
        <v>28</v>
      </c>
      <c r="G14" s="5" t="s">
        <v>29</v>
      </c>
      <c r="H14" s="5" t="s">
        <v>15</v>
      </c>
      <c r="I14" s="5" t="s">
        <v>30</v>
      </c>
    </row>
    <row r="15" spans="1:9">
      <c r="A15" s="5">
        <v>14</v>
      </c>
      <c r="B15" s="5" t="s">
        <v>31</v>
      </c>
      <c r="C15" s="1" t="s">
        <v>32</v>
      </c>
      <c r="D15" s="1" t="s">
        <v>33</v>
      </c>
      <c r="E15" s="5" t="s">
        <v>34</v>
      </c>
      <c r="F15" s="5" t="s">
        <v>35</v>
      </c>
      <c r="G15" s="5" t="s">
        <v>36</v>
      </c>
      <c r="H15" s="5" t="s">
        <v>15</v>
      </c>
      <c r="I15" s="5" t="s">
        <v>30</v>
      </c>
    </row>
    <row r="16" spans="1:9">
      <c r="A16" s="5">
        <v>15</v>
      </c>
      <c r="B16" s="5" t="s">
        <v>37</v>
      </c>
      <c r="C16" s="1" t="s">
        <v>38</v>
      </c>
      <c r="D16" s="1" t="s">
        <v>39</v>
      </c>
      <c r="E16" s="5" t="s">
        <v>40</v>
      </c>
      <c r="F16" s="5" t="s">
        <v>41</v>
      </c>
      <c r="G16" s="5" t="s">
        <v>42</v>
      </c>
      <c r="H16" s="5" t="s">
        <v>15</v>
      </c>
      <c r="I16" s="5" t="s">
        <v>16</v>
      </c>
    </row>
    <row r="17" spans="1:9">
      <c r="A17" s="5">
        <v>16</v>
      </c>
      <c r="B17" s="5" t="s">
        <v>9</v>
      </c>
      <c r="C17" s="1" t="s">
        <v>10</v>
      </c>
      <c r="D17" s="1" t="s">
        <v>11</v>
      </c>
      <c r="E17" s="5" t="s">
        <v>12</v>
      </c>
      <c r="F17" s="5" t="s">
        <v>13</v>
      </c>
      <c r="G17" s="5" t="s">
        <v>14</v>
      </c>
      <c r="H17" s="5" t="s">
        <v>15</v>
      </c>
      <c r="I17" s="5" t="s">
        <v>16</v>
      </c>
    </row>
    <row r="18" spans="1:9">
      <c r="A18" s="5">
        <v>17</v>
      </c>
      <c r="B18" s="5" t="s">
        <v>17</v>
      </c>
      <c r="C18" s="1" t="s">
        <v>18</v>
      </c>
      <c r="D18" s="1" t="s">
        <v>19</v>
      </c>
      <c r="E18" s="5" t="s">
        <v>20</v>
      </c>
      <c r="F18" s="5" t="s">
        <v>21</v>
      </c>
      <c r="G18" s="5" t="s">
        <v>22</v>
      </c>
      <c r="H18" s="5" t="s">
        <v>23</v>
      </c>
      <c r="I18" s="5" t="s">
        <v>16</v>
      </c>
    </row>
    <row r="19" spans="1:9">
      <c r="A19" s="5">
        <v>18</v>
      </c>
      <c r="B19" s="5" t="s">
        <v>24</v>
      </c>
      <c r="C19" s="1" t="s">
        <v>25</v>
      </c>
      <c r="D19" s="1" t="s">
        <v>26</v>
      </c>
      <c r="E19" s="5" t="s">
        <v>27</v>
      </c>
      <c r="F19" s="5" t="s">
        <v>28</v>
      </c>
      <c r="G19" s="5" t="s">
        <v>29</v>
      </c>
      <c r="H19" s="5" t="s">
        <v>15</v>
      </c>
      <c r="I19" s="5" t="s">
        <v>30</v>
      </c>
    </row>
    <row r="20" spans="1:9">
      <c r="A20" s="5">
        <v>19</v>
      </c>
      <c r="B20" s="5" t="s">
        <v>31</v>
      </c>
      <c r="C20" s="1" t="s">
        <v>32</v>
      </c>
      <c r="D20" s="1" t="s">
        <v>33</v>
      </c>
      <c r="E20" s="5" t="s">
        <v>34</v>
      </c>
      <c r="F20" s="5" t="s">
        <v>35</v>
      </c>
      <c r="G20" s="5" t="s">
        <v>36</v>
      </c>
      <c r="H20" s="5" t="s">
        <v>15</v>
      </c>
      <c r="I20" s="5" t="s">
        <v>30</v>
      </c>
    </row>
    <row r="21" spans="1:9">
      <c r="A21" s="5">
        <v>20</v>
      </c>
      <c r="B21" s="5" t="s">
        <v>37</v>
      </c>
      <c r="C21" s="1" t="s">
        <v>38</v>
      </c>
      <c r="D21" s="1" t="s">
        <v>39</v>
      </c>
      <c r="E21" s="5" t="s">
        <v>40</v>
      </c>
      <c r="F21" s="5" t="s">
        <v>41</v>
      </c>
      <c r="G21" s="5" t="s">
        <v>42</v>
      </c>
      <c r="H21" s="5" t="s">
        <v>15</v>
      </c>
      <c r="I21" s="5" t="s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dimension ref="A1:I21"/>
  <sheetViews>
    <sheetView tabSelected="1" workbookViewId="0">
      <selection activeCell="G18" sqref="G18"/>
    </sheetView>
  </sheetViews>
  <sheetFormatPr defaultRowHeight="15"/>
  <cols>
    <col min="1" max="1" width="21.5703125" customWidth="1"/>
    <col min="2" max="2" width="14.42578125" customWidth="1"/>
  </cols>
  <sheetData>
    <row r="1" spans="1:9">
      <c r="A1" s="2" t="s">
        <v>43</v>
      </c>
      <c r="B1" s="4" t="s">
        <v>44</v>
      </c>
      <c r="C1" s="4" t="s">
        <v>45</v>
      </c>
      <c r="D1" s="4" t="s">
        <v>46</v>
      </c>
      <c r="E1" s="4" t="s">
        <v>47</v>
      </c>
      <c r="F1" s="4" t="s">
        <v>48</v>
      </c>
      <c r="G1" s="4" t="s">
        <v>49</v>
      </c>
    </row>
    <row r="2" spans="1:9">
      <c r="A2" s="1" t="s">
        <v>81</v>
      </c>
      <c r="B2" s="5">
        <v>1</v>
      </c>
      <c r="C2" s="5">
        <v>1</v>
      </c>
      <c r="D2" s="5">
        <v>1</v>
      </c>
      <c r="E2" s="5">
        <v>0</v>
      </c>
      <c r="F2" s="5">
        <v>1</v>
      </c>
      <c r="G2" s="16">
        <v>4</v>
      </c>
      <c r="H2" s="15"/>
      <c r="I2" s="3"/>
    </row>
    <row r="3" spans="1:9">
      <c r="A3" s="1" t="s">
        <v>82</v>
      </c>
      <c r="B3" s="5">
        <v>1</v>
      </c>
      <c r="C3" s="5">
        <v>0</v>
      </c>
      <c r="D3" s="5">
        <v>1</v>
      </c>
      <c r="E3" s="5">
        <v>1</v>
      </c>
      <c r="F3" s="5">
        <v>1</v>
      </c>
      <c r="G3" s="16">
        <v>4</v>
      </c>
      <c r="H3" s="15"/>
      <c r="I3" s="3"/>
    </row>
    <row r="4" spans="1:9">
      <c r="A4" s="1" t="s">
        <v>83</v>
      </c>
      <c r="B4" s="5">
        <v>0</v>
      </c>
      <c r="C4" s="5">
        <v>1</v>
      </c>
      <c r="D4" s="5">
        <v>1</v>
      </c>
      <c r="E4" s="5">
        <v>0</v>
      </c>
      <c r="F4" s="5">
        <v>1</v>
      </c>
      <c r="G4" s="16">
        <v>3</v>
      </c>
      <c r="H4" s="15"/>
      <c r="I4" s="3"/>
    </row>
    <row r="5" spans="1:9">
      <c r="A5" s="1" t="s">
        <v>84</v>
      </c>
      <c r="B5" s="5">
        <v>1</v>
      </c>
      <c r="C5" s="5">
        <v>1</v>
      </c>
      <c r="D5" s="5">
        <v>0</v>
      </c>
      <c r="E5" s="5">
        <v>1</v>
      </c>
      <c r="F5" s="5">
        <v>0</v>
      </c>
      <c r="G5" s="16">
        <v>3</v>
      </c>
      <c r="H5" s="15"/>
    </row>
    <row r="6" spans="1:9">
      <c r="A6" s="1" t="s">
        <v>85</v>
      </c>
      <c r="B6" s="5">
        <v>1</v>
      </c>
      <c r="C6" s="5">
        <v>1</v>
      </c>
      <c r="D6" s="5">
        <v>0</v>
      </c>
      <c r="E6" s="5">
        <v>1</v>
      </c>
      <c r="F6" s="5">
        <v>1</v>
      </c>
      <c r="G6" s="16">
        <v>4</v>
      </c>
      <c r="H6" s="15"/>
    </row>
    <row r="7" spans="1:9">
      <c r="A7" s="1" t="s">
        <v>86</v>
      </c>
      <c r="B7" s="5">
        <v>2</v>
      </c>
      <c r="C7" s="5">
        <v>1</v>
      </c>
      <c r="D7" s="5">
        <v>1</v>
      </c>
      <c r="E7" s="5">
        <v>0</v>
      </c>
      <c r="F7" s="5">
        <v>0</v>
      </c>
      <c r="G7" s="16">
        <v>4</v>
      </c>
      <c r="H7" s="15"/>
    </row>
    <row r="8" spans="1:9">
      <c r="A8" s="1" t="s">
        <v>87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16">
        <v>5</v>
      </c>
      <c r="H8" s="15"/>
    </row>
    <row r="9" spans="1:9">
      <c r="A9" s="1" t="s">
        <v>88</v>
      </c>
      <c r="B9" s="5">
        <v>0</v>
      </c>
      <c r="C9" s="5">
        <v>0</v>
      </c>
      <c r="D9" s="5">
        <v>1</v>
      </c>
      <c r="E9" s="5">
        <v>0</v>
      </c>
      <c r="F9" s="5">
        <v>1</v>
      </c>
      <c r="G9" s="16">
        <v>2</v>
      </c>
      <c r="H9" s="15"/>
    </row>
    <row r="10" spans="1:9">
      <c r="A10" s="1" t="s">
        <v>89</v>
      </c>
      <c r="B10" s="5">
        <v>1</v>
      </c>
      <c r="C10" s="5">
        <v>0</v>
      </c>
      <c r="D10" s="5">
        <v>0</v>
      </c>
      <c r="E10" s="5">
        <v>1</v>
      </c>
      <c r="F10" s="5">
        <v>1</v>
      </c>
      <c r="G10" s="16">
        <v>3</v>
      </c>
      <c r="H10" s="15"/>
    </row>
    <row r="11" spans="1:9">
      <c r="A11" s="1" t="s">
        <v>90</v>
      </c>
      <c r="B11" s="5">
        <v>1</v>
      </c>
      <c r="C11" s="5">
        <v>1</v>
      </c>
      <c r="D11" s="5">
        <v>0</v>
      </c>
      <c r="E11" s="5">
        <v>1</v>
      </c>
      <c r="F11" s="5">
        <v>1</v>
      </c>
      <c r="G11" s="16">
        <v>4</v>
      </c>
      <c r="H11" s="15"/>
    </row>
    <row r="12" spans="1:9">
      <c r="A12" s="1" t="s">
        <v>95</v>
      </c>
      <c r="B12" s="5">
        <v>1</v>
      </c>
      <c r="C12" s="5">
        <v>1</v>
      </c>
      <c r="D12" s="5">
        <v>1</v>
      </c>
      <c r="E12" s="5">
        <v>1</v>
      </c>
      <c r="F12" s="5">
        <v>1</v>
      </c>
      <c r="G12" s="16">
        <v>5</v>
      </c>
    </row>
    <row r="13" spans="1:9">
      <c r="A13" s="1" t="s">
        <v>96</v>
      </c>
      <c r="B13" s="5">
        <v>1</v>
      </c>
      <c r="C13" s="5">
        <v>0</v>
      </c>
      <c r="D13" s="5">
        <v>1</v>
      </c>
      <c r="E13" s="5">
        <v>1</v>
      </c>
      <c r="F13" s="5">
        <v>1</v>
      </c>
      <c r="G13" s="16">
        <v>4</v>
      </c>
    </row>
    <row r="14" spans="1:9">
      <c r="A14" s="1" t="s">
        <v>97</v>
      </c>
      <c r="B14" s="5">
        <v>0</v>
      </c>
      <c r="C14" s="5">
        <v>1</v>
      </c>
      <c r="D14" s="5">
        <v>1</v>
      </c>
      <c r="E14" s="5">
        <v>0</v>
      </c>
      <c r="F14" s="5">
        <v>1</v>
      </c>
      <c r="G14" s="16">
        <v>3</v>
      </c>
    </row>
    <row r="15" spans="1:9">
      <c r="A15" s="1" t="s">
        <v>98</v>
      </c>
      <c r="B15" s="5">
        <v>1</v>
      </c>
      <c r="C15" s="5">
        <v>1</v>
      </c>
      <c r="D15" s="5">
        <v>0</v>
      </c>
      <c r="E15" s="5">
        <v>1</v>
      </c>
      <c r="F15" s="5">
        <v>0</v>
      </c>
      <c r="G15" s="16">
        <v>4</v>
      </c>
    </row>
    <row r="16" spans="1:9">
      <c r="A16" s="1" t="s">
        <v>99</v>
      </c>
      <c r="B16" s="5">
        <v>1</v>
      </c>
      <c r="C16" s="5">
        <v>1</v>
      </c>
      <c r="D16" s="5">
        <v>0</v>
      </c>
      <c r="E16" s="5">
        <v>1</v>
      </c>
      <c r="F16" s="5">
        <v>1</v>
      </c>
      <c r="G16" s="16">
        <v>4</v>
      </c>
    </row>
    <row r="17" spans="1:7">
      <c r="A17" s="1" t="s">
        <v>100</v>
      </c>
      <c r="B17" s="5">
        <v>1</v>
      </c>
      <c r="C17" s="5">
        <v>1</v>
      </c>
      <c r="D17" s="5">
        <v>1</v>
      </c>
      <c r="E17" s="5">
        <v>1</v>
      </c>
      <c r="F17" s="5">
        <v>1</v>
      </c>
      <c r="G17" s="16">
        <v>5</v>
      </c>
    </row>
    <row r="18" spans="1:7">
      <c r="A18" s="1" t="s">
        <v>101</v>
      </c>
      <c r="B18" s="5">
        <v>1</v>
      </c>
      <c r="C18" s="5">
        <v>0</v>
      </c>
      <c r="D18" s="5">
        <v>1</v>
      </c>
      <c r="E18" s="5">
        <v>1</v>
      </c>
      <c r="F18" s="5">
        <v>1</v>
      </c>
      <c r="G18" s="16">
        <v>4</v>
      </c>
    </row>
    <row r="19" spans="1:7">
      <c r="A19" s="1" t="s">
        <v>102</v>
      </c>
      <c r="B19" s="5">
        <v>0</v>
      </c>
      <c r="C19" s="5">
        <v>0</v>
      </c>
      <c r="D19" s="5">
        <v>0</v>
      </c>
      <c r="E19" s="5">
        <v>0</v>
      </c>
      <c r="F19" s="5">
        <v>1</v>
      </c>
      <c r="G19" s="16">
        <v>1</v>
      </c>
    </row>
    <row r="20" spans="1:7">
      <c r="A20" s="1" t="s">
        <v>103</v>
      </c>
      <c r="B20" s="5">
        <v>1</v>
      </c>
      <c r="C20" s="5">
        <v>1</v>
      </c>
      <c r="D20" s="5">
        <v>1</v>
      </c>
      <c r="E20" s="5">
        <v>1</v>
      </c>
      <c r="F20" s="5">
        <v>1</v>
      </c>
      <c r="G20" s="16">
        <v>5</v>
      </c>
    </row>
    <row r="21" spans="1:7">
      <c r="A21" s="1" t="s">
        <v>104</v>
      </c>
      <c r="B21" s="5">
        <v>1</v>
      </c>
      <c r="C21" s="5">
        <v>1</v>
      </c>
      <c r="D21" s="5">
        <v>0</v>
      </c>
      <c r="E21" s="5">
        <v>1</v>
      </c>
      <c r="F21" s="5">
        <v>1</v>
      </c>
      <c r="G21" s="16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5"/>
  <sheetViews>
    <sheetView topLeftCell="A4" workbookViewId="0">
      <selection activeCell="I10" sqref="I10"/>
    </sheetView>
  </sheetViews>
  <sheetFormatPr defaultRowHeight="15"/>
  <cols>
    <col min="1" max="1" width="18.42578125" customWidth="1"/>
    <col min="2" max="2" width="16" customWidth="1"/>
    <col min="3" max="3" width="22.140625" customWidth="1"/>
    <col min="4" max="4" width="21" customWidth="1"/>
    <col min="5" max="5" width="16.7109375" customWidth="1"/>
  </cols>
  <sheetData>
    <row r="1" spans="1:5">
      <c r="A1" s="2" t="s">
        <v>50</v>
      </c>
      <c r="B1" s="4" t="s">
        <v>51</v>
      </c>
      <c r="C1" s="3"/>
      <c r="D1" s="3"/>
    </row>
    <row r="2" spans="1:5">
      <c r="A2" s="1" t="s">
        <v>52</v>
      </c>
      <c r="B2" s="5">
        <f>COUNTA(ItemBank!A:A)-1</f>
        <v>20</v>
      </c>
      <c r="C2" s="3"/>
      <c r="D2" s="3"/>
    </row>
    <row r="3" spans="1:5">
      <c r="A3" s="1" t="s">
        <v>53</v>
      </c>
      <c r="B3" s="5">
        <f>COUNTA(Responses!A:A)-1</f>
        <v>20</v>
      </c>
      <c r="C3" s="3"/>
      <c r="D3" s="3"/>
    </row>
    <row r="4" spans="1:5">
      <c r="A4" s="2" t="s">
        <v>54</v>
      </c>
      <c r="B4" s="4" t="s">
        <v>55</v>
      </c>
      <c r="C4" s="2" t="s">
        <v>56</v>
      </c>
      <c r="D4" s="2" t="s">
        <v>57</v>
      </c>
      <c r="E4" s="4" t="s">
        <v>91</v>
      </c>
    </row>
    <row r="5" spans="1:5">
      <c r="A5" s="1" t="s">
        <v>58</v>
      </c>
      <c r="B5" s="5">
        <f>AVERAGE(Responses!B2:B6)</f>
        <v>0.8</v>
      </c>
      <c r="C5" s="1">
        <f>CORREL(Responses!B2:B6,Responses!G2:G6)</f>
        <v>0.61237243569579447</v>
      </c>
      <c r="D5" s="1" t="e">
        <f ca="1">VAR.S(Responses!B2:B6)</f>
        <v>#NAME?</v>
      </c>
      <c r="E5" s="1" t="str">
        <f>Responses!A2</f>
        <v>Aluno  (Nome) 1</v>
      </c>
    </row>
    <row r="6" spans="1:5">
      <c r="A6" s="1" t="s">
        <v>59</v>
      </c>
      <c r="B6" s="5">
        <f>AVERAGE(Responses!C2:C6)</f>
        <v>0.8</v>
      </c>
      <c r="C6" s="1">
        <f>CORREL(Responses!C2:C6,Responses!G2:G6)</f>
        <v>-0.40824829046386296</v>
      </c>
      <c r="D6" s="1" t="e">
        <f ca="1">VAR.S(Responses!C2:C6)</f>
        <v>#NAME?</v>
      </c>
      <c r="E6" s="1" t="str">
        <f>Responses!A3</f>
        <v>Aluno  (Nome) 2</v>
      </c>
    </row>
    <row r="7" spans="1:5">
      <c r="A7" s="1" t="s">
        <v>60</v>
      </c>
      <c r="B7" s="5">
        <f>AVERAGE(Responses!D2:D6)</f>
        <v>0.6</v>
      </c>
      <c r="C7" s="1">
        <f>CORREL(Responses!D2:D6,Responses!G2:G6)</f>
        <v>0.16666666666666666</v>
      </c>
      <c r="D7" s="1" t="e">
        <f ca="1">VAR.S(Responses!D2:D6)</f>
        <v>#NAME?</v>
      </c>
      <c r="E7" s="1" t="str">
        <f>Responses!A4</f>
        <v>Aluno  (Nome) 3</v>
      </c>
    </row>
    <row r="8" spans="1:5">
      <c r="A8" s="1" t="s">
        <v>61</v>
      </c>
      <c r="B8" s="5">
        <f>AVERAGE(Responses!E2:E6)</f>
        <v>0.6</v>
      </c>
      <c r="C8" s="1">
        <f>CORREL(Responses!E2:E6,Responses!G2:G6)</f>
        <v>0.16666666666666666</v>
      </c>
      <c r="D8" s="1" t="e">
        <f ca="1">VAR.S(Responses!E2:E6)</f>
        <v>#NAME?</v>
      </c>
      <c r="E8" s="1" t="str">
        <f>Responses!A5</f>
        <v>Aluno  (Nome) 4</v>
      </c>
    </row>
    <row r="9" spans="1:5">
      <c r="A9" s="1" t="s">
        <v>62</v>
      </c>
      <c r="B9" s="5">
        <f>AVERAGE(Responses!F2:F6)</f>
        <v>0.8</v>
      </c>
      <c r="C9" s="1">
        <f>CORREL(Responses!F2:F6,Responses!G2:G6)</f>
        <v>0.61237243569579447</v>
      </c>
      <c r="D9" s="1" t="e">
        <f ca="1">VAR.S(Responses!F2:F6)</f>
        <v>#NAME?</v>
      </c>
      <c r="E9" s="1" t="str">
        <f>Responses!A6</f>
        <v>Aluno  (Nome) 5</v>
      </c>
    </row>
    <row r="10" spans="1:5">
      <c r="A10" s="1" t="s">
        <v>67</v>
      </c>
      <c r="B10" s="5">
        <f>AVERAGE(Responses!B7:B11)</f>
        <v>1</v>
      </c>
      <c r="C10" s="1">
        <f>CORREL(Responses!B7:B11,Responses!G7:G11)</f>
        <v>0.62017367294604231</v>
      </c>
      <c r="D10" s="1" t="e">
        <f ca="1">VAR.S(Responses!B7:B11)</f>
        <v>#NAME?</v>
      </c>
      <c r="E10" s="1" t="str">
        <f>Responses!A7</f>
        <v>Aluno  (Nome) 6</v>
      </c>
    </row>
    <row r="11" spans="1:5">
      <c r="A11" s="1" t="s">
        <v>68</v>
      </c>
      <c r="B11" s="5">
        <f>AVERAGE(Responses!C7:C11)</f>
        <v>0.6</v>
      </c>
      <c r="C11" s="1">
        <f>CORREL(Responses!C7:C11,Responses!G7:G11)</f>
        <v>0.88070484592797926</v>
      </c>
      <c r="D11" s="1" t="e">
        <f ca="1">VAR.S(Responses!C7:C11)</f>
        <v>#NAME?</v>
      </c>
      <c r="E11" s="1" t="str">
        <f>Responses!A8</f>
        <v>Aluno  (Nome) 7</v>
      </c>
    </row>
    <row r="12" spans="1:5">
      <c r="A12" s="1" t="s">
        <v>69</v>
      </c>
      <c r="B12" s="5">
        <f>AVERAGE(Responses!D7:D11)</f>
        <v>0.6</v>
      </c>
      <c r="C12" s="1">
        <f>CORREL(Responses!D7:D11,Responses!G7:G11)</f>
        <v>8.0064076902543552E-2</v>
      </c>
      <c r="D12" s="1" t="e">
        <f ca="1">VAR.S(Responses!D7:D11)</f>
        <v>#NAME?</v>
      </c>
      <c r="E12" s="1" t="str">
        <f>Responses!A9</f>
        <v>Aluno  (Nome) 8</v>
      </c>
    </row>
    <row r="13" spans="1:5">
      <c r="A13" s="1" t="s">
        <v>70</v>
      </c>
      <c r="B13" s="5">
        <f>AVERAGE(Responses!E7:E11)</f>
        <v>0.6</v>
      </c>
      <c r="C13" s="1">
        <f>CORREL(Responses!E7:E11,Responses!G7:G11)</f>
        <v>0.48038446141526137</v>
      </c>
      <c r="D13" s="1" t="e">
        <f ca="1">VAR.S(Responses!E7:E11)</f>
        <v>#NAME?</v>
      </c>
      <c r="E13" s="1" t="str">
        <f>Responses!A10</f>
        <v>Aluno  (Nome) 9</v>
      </c>
    </row>
    <row r="14" spans="1:5">
      <c r="A14" s="1" t="s">
        <v>71</v>
      </c>
      <c r="B14" s="5">
        <f>AVERAGE(Responses!F7:F11)</f>
        <v>0.8</v>
      </c>
      <c r="C14" s="1">
        <f>CORREL(Responses!F7:F11,Responses!G7:G11)</f>
        <v>-0.19611613513818399</v>
      </c>
      <c r="D14" s="1" t="e">
        <f ca="1">VAR.S(Responses!F7:F11)</f>
        <v>#NAME?</v>
      </c>
      <c r="E14" s="1" t="str">
        <f>Responses!A11</f>
        <v>Aluno  (Nome) 10</v>
      </c>
    </row>
    <row r="15" spans="1:5">
      <c r="A15" s="1" t="s">
        <v>58</v>
      </c>
      <c r="B15" s="5">
        <f>AVERAGE(Responses!B12:B16)</f>
        <v>0.8</v>
      </c>
      <c r="C15" s="1">
        <f>CORREL(Responses!B12:B16,Responses!G12:G16)</f>
        <v>0.79056941504209477</v>
      </c>
      <c r="D15" s="1" t="e">
        <f ca="1">VAR.S(Responses!B12:B16)</f>
        <v>#NAME?</v>
      </c>
      <c r="E15" s="1" t="str">
        <f>Responses!A12</f>
        <v>Aluno  (Nome) 11</v>
      </c>
    </row>
    <row r="16" spans="1:5">
      <c r="A16" s="1" t="s">
        <v>59</v>
      </c>
      <c r="B16" s="5">
        <f>AVERAGE(Responses!C12:C16)</f>
        <v>0.8</v>
      </c>
      <c r="C16" s="1">
        <f>CORREL(Responses!C12:C16,Responses!G12:G16)</f>
        <v>0</v>
      </c>
      <c r="D16" s="1" t="e">
        <f ca="1">VAR.S(Responses!C12:C16)</f>
        <v>#NAME?</v>
      </c>
      <c r="E16" s="1" t="str">
        <f>Responses!A13</f>
        <v>Aluno  (Nome) 12</v>
      </c>
    </row>
    <row r="17" spans="1:5">
      <c r="A17" s="1" t="s">
        <v>60</v>
      </c>
      <c r="B17" s="5">
        <f>AVERAGE(Responses!D12:D16)</f>
        <v>0.6</v>
      </c>
      <c r="C17" s="1">
        <f>CORREL(Responses!D12:D16,Responses!G12:G16)</f>
        <v>0</v>
      </c>
      <c r="D17" s="1" t="e">
        <f ca="1">VAR.S(Responses!D12:D16)</f>
        <v>#NAME?</v>
      </c>
      <c r="E17" s="1" t="str">
        <f>Responses!A14</f>
        <v>Aluno  (Nome) 13</v>
      </c>
    </row>
    <row r="18" spans="1:5">
      <c r="A18" s="1" t="s">
        <v>61</v>
      </c>
      <c r="B18" s="5">
        <f>AVERAGE(Responses!E12:E16)</f>
        <v>0.8</v>
      </c>
      <c r="C18" s="1">
        <f>CORREL(Responses!E12:E16,Responses!G12:G16)</f>
        <v>0.79056941504209477</v>
      </c>
      <c r="D18" s="1" t="e">
        <f ca="1">VAR.S(Responses!E12:E16)</f>
        <v>#NAME?</v>
      </c>
      <c r="E18" s="1" t="str">
        <f>Responses!A15</f>
        <v>Aluno  (Nome) 14</v>
      </c>
    </row>
    <row r="19" spans="1:5">
      <c r="A19" s="1" t="s">
        <v>62</v>
      </c>
      <c r="B19" s="5">
        <f>AVERAGE(Responses!F12:F16)</f>
        <v>0.8</v>
      </c>
      <c r="C19" s="1">
        <f>CORREL(Responses!F12:F16,Responses!G12:G16)</f>
        <v>0</v>
      </c>
      <c r="D19" s="1" t="e">
        <f ca="1">VAR.S(Responses!F12:F16)</f>
        <v>#NAME?</v>
      </c>
      <c r="E19" s="1" t="str">
        <f>Responses!A16</f>
        <v>Aluno  (Nome) 15</v>
      </c>
    </row>
    <row r="20" spans="1:5">
      <c r="A20" s="1" t="s">
        <v>67</v>
      </c>
      <c r="B20" s="5">
        <f>AVERAGE(Responses!B17:B21)</f>
        <v>0.8</v>
      </c>
      <c r="C20" s="1">
        <f>CORREL(Responses!B17:B21,Responses!G17:G21)</f>
        <v>0.95257934441568015</v>
      </c>
      <c r="D20" s="1" t="e">
        <f ca="1">VAR.S(Responses!B17:B21)</f>
        <v>#NAME?</v>
      </c>
      <c r="E20" s="1" t="str">
        <f>Responses!A17</f>
        <v>Aluno  (Nome) 16</v>
      </c>
    </row>
    <row r="21" spans="1:5">
      <c r="A21" s="1" t="s">
        <v>68</v>
      </c>
      <c r="B21" s="5">
        <f>AVERAGE(Responses!C17:C21)</f>
        <v>0.6</v>
      </c>
      <c r="C21" s="1">
        <f>CORREL(Responses!C17:C21,Responses!G17:G21)</f>
        <v>0.7222222222222221</v>
      </c>
      <c r="D21" s="1" t="e">
        <f ca="1">VAR.S(Responses!C17:C21)</f>
        <v>#NAME?</v>
      </c>
      <c r="E21" s="1" t="str">
        <f>Responses!A18</f>
        <v>Aluno  (Nome) 17</v>
      </c>
    </row>
    <row r="22" spans="1:5">
      <c r="A22" s="1" t="s">
        <v>69</v>
      </c>
      <c r="B22" s="5">
        <f>AVERAGE(Responses!D17:D21)</f>
        <v>0.6</v>
      </c>
      <c r="C22" s="1">
        <f>CORREL(Responses!D17:D21,Responses!G17:G21)</f>
        <v>0.7222222222222221</v>
      </c>
      <c r="D22" s="1" t="e">
        <f ca="1">VAR.S(Responses!D17:D21)</f>
        <v>#NAME?</v>
      </c>
      <c r="E22" s="1" t="str">
        <f>Responses!A19</f>
        <v>Aluno  (Nome) 18</v>
      </c>
    </row>
    <row r="23" spans="1:5">
      <c r="A23" s="1" t="s">
        <v>70</v>
      </c>
      <c r="B23" s="5">
        <f>AVERAGE(Responses!E17:E21)</f>
        <v>0.8</v>
      </c>
      <c r="C23" s="1">
        <f>CORREL(Responses!E17:E21,Responses!G17:G21)</f>
        <v>0.95257934441568015</v>
      </c>
      <c r="D23" s="1" t="e">
        <f ca="1">VAR.S(Responses!E17:E21)</f>
        <v>#NAME?</v>
      </c>
      <c r="E23" s="1" t="str">
        <f>Responses!A20</f>
        <v>Aluno  (Nome) 19</v>
      </c>
    </row>
    <row r="24" spans="1:5">
      <c r="A24" s="1" t="s">
        <v>71</v>
      </c>
      <c r="B24" s="5">
        <f>AVERAGE(Responses!F17:F21)</f>
        <v>1</v>
      </c>
      <c r="C24" s="1" t="e">
        <f>CORREL(Responses!F17:F21,Responses!G17:G21)</f>
        <v>#DIV/0!</v>
      </c>
      <c r="D24" s="1" t="e">
        <f ca="1">VAR.S(Responses!F17:F21)</f>
        <v>#NAME?</v>
      </c>
      <c r="E24" s="1" t="str">
        <f>Responses!A21</f>
        <v>Aluno  (Nome) 20</v>
      </c>
    </row>
    <row r="25" spans="1:5">
      <c r="A25" s="1" t="s">
        <v>63</v>
      </c>
      <c r="B25" s="5" t="e">
        <f ca="1">(5/(5-1))*(1 - (SUM(VARIANCE(Responses!B2:B6),VARIANCE(Responses!C2:C6),VARIANCE(Responses!D2:D6),VARIANCE(Responses!E2:E6),VARIANCE(Responses!F2:F6))/VAR.S(Responses!B2:F6)) )</f>
        <v>#NAME?</v>
      </c>
      <c r="C25" s="1"/>
      <c r="D25" s="1"/>
    </row>
  </sheetData>
  <pageMargins left="0.75" right="0.75" top="1" bottom="1" header="0.5" footer="0.5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I24"/>
  <sheetViews>
    <sheetView topLeftCell="A4" workbookViewId="0">
      <selection sqref="A1:F1"/>
    </sheetView>
  </sheetViews>
  <sheetFormatPr defaultRowHeight="15"/>
  <cols>
    <col min="1" max="1" width="81.42578125" customWidth="1"/>
    <col min="2" max="2" width="9.140625" customWidth="1"/>
    <col min="3" max="3" width="1.28515625" customWidth="1"/>
    <col min="4" max="6" width="9.140625" hidden="1" customWidth="1"/>
    <col min="7" max="7" width="15" customWidth="1"/>
    <col min="8" max="8" width="9.140625" hidden="1" customWidth="1"/>
    <col min="9" max="9" width="22.28515625" customWidth="1"/>
  </cols>
  <sheetData>
    <row r="1" spans="1:9" ht="100.5" customHeight="1">
      <c r="A1" s="6" t="s">
        <v>64</v>
      </c>
      <c r="B1" s="7"/>
      <c r="C1" s="7"/>
      <c r="D1" s="7"/>
      <c r="E1" s="7"/>
      <c r="F1" s="8"/>
    </row>
    <row r="4" spans="1:9" ht="15.75" thickBot="1">
      <c r="A4" t="s">
        <v>65</v>
      </c>
    </row>
    <row r="5" spans="1:9" ht="51.75" customHeight="1" thickBot="1">
      <c r="A5" s="17" t="s">
        <v>66</v>
      </c>
      <c r="B5" s="19"/>
      <c r="C5" s="18"/>
      <c r="D5" s="18"/>
      <c r="E5" s="18"/>
      <c r="F5" s="19"/>
      <c r="I5" s="21"/>
    </row>
    <row r="6" spans="1:9" ht="20.25" customHeight="1" thickBot="1">
      <c r="A6" s="20"/>
      <c r="B6" s="20"/>
      <c r="C6" s="20"/>
      <c r="D6" s="20"/>
      <c r="E6" s="20"/>
      <c r="F6" s="20"/>
    </row>
    <row r="7" spans="1:9">
      <c r="A7" s="9" t="s">
        <v>92</v>
      </c>
      <c r="B7" s="10"/>
    </row>
    <row r="8" spans="1:9">
      <c r="A8" s="11" t="s">
        <v>75</v>
      </c>
      <c r="B8" s="12"/>
      <c r="C8" s="3"/>
      <c r="D8" s="3"/>
      <c r="E8" s="3"/>
      <c r="F8" s="3"/>
      <c r="G8" s="3"/>
      <c r="H8" s="3"/>
      <c r="I8" s="3"/>
    </row>
    <row r="9" spans="1:9">
      <c r="A9" s="11" t="s">
        <v>76</v>
      </c>
      <c r="B9" s="12"/>
      <c r="C9" s="3"/>
      <c r="D9" s="3"/>
      <c r="E9" s="3"/>
      <c r="F9" s="3"/>
      <c r="G9" s="3"/>
      <c r="H9" s="3"/>
      <c r="I9" s="3"/>
    </row>
    <row r="10" spans="1:9">
      <c r="A10" s="11" t="s">
        <v>77</v>
      </c>
      <c r="B10" s="12"/>
      <c r="C10" s="3"/>
      <c r="D10" s="3"/>
      <c r="E10" s="3"/>
      <c r="F10" s="3"/>
      <c r="G10" s="3"/>
      <c r="H10" s="3"/>
      <c r="I10" s="3"/>
    </row>
    <row r="11" spans="1:9" ht="15.75" thickBot="1">
      <c r="A11" s="13" t="s">
        <v>78</v>
      </c>
      <c r="B11" s="14"/>
      <c r="C11" s="3"/>
      <c r="D11" s="3"/>
      <c r="E11" s="3"/>
      <c r="F11" s="3"/>
      <c r="G11" s="3"/>
      <c r="H11" s="3"/>
      <c r="I11" s="3"/>
    </row>
    <row r="12" spans="1:9" ht="15.75" thickBot="1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9" t="s">
        <v>93</v>
      </c>
      <c r="B13" s="10"/>
      <c r="C13" s="3"/>
      <c r="D13" s="3"/>
      <c r="E13" s="3"/>
      <c r="F13" s="3"/>
      <c r="G13" s="3"/>
      <c r="H13" s="3"/>
      <c r="I13" s="3"/>
    </row>
    <row r="14" spans="1:9">
      <c r="A14" s="11" t="s">
        <v>75</v>
      </c>
      <c r="B14" s="12"/>
      <c r="C14" s="3"/>
      <c r="D14" s="3"/>
      <c r="E14" s="3"/>
      <c r="F14" s="3"/>
      <c r="G14" s="3"/>
      <c r="H14" s="3"/>
      <c r="I14" s="3"/>
    </row>
    <row r="15" spans="1:9">
      <c r="A15" s="11" t="s">
        <v>76</v>
      </c>
      <c r="B15" s="12"/>
      <c r="C15" s="3"/>
      <c r="D15" s="3"/>
      <c r="E15" s="3"/>
      <c r="F15" s="3"/>
      <c r="G15" s="3"/>
      <c r="H15" s="3"/>
      <c r="I15" s="3"/>
    </row>
    <row r="16" spans="1:9">
      <c r="A16" s="11" t="s">
        <v>80</v>
      </c>
      <c r="B16" s="12"/>
      <c r="C16" s="3"/>
      <c r="D16" s="3"/>
      <c r="E16" s="3"/>
      <c r="F16" s="3"/>
      <c r="G16" s="3"/>
      <c r="H16" s="3"/>
      <c r="I16" s="3"/>
    </row>
    <row r="17" spans="1:9" ht="15.75" thickBot="1">
      <c r="A17" s="13" t="s">
        <v>78</v>
      </c>
      <c r="B17" s="14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 ht="15.75" thickBot="1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9" t="s">
        <v>94</v>
      </c>
      <c r="B20" s="10"/>
      <c r="C20" s="3"/>
      <c r="D20" s="3"/>
      <c r="E20" s="3"/>
      <c r="F20" s="3"/>
      <c r="G20" s="3"/>
      <c r="H20" s="3"/>
      <c r="I20" s="3"/>
    </row>
    <row r="21" spans="1:9">
      <c r="A21" s="11" t="s">
        <v>72</v>
      </c>
      <c r="B21" s="12"/>
      <c r="C21" s="3"/>
      <c r="D21" s="3"/>
      <c r="E21" s="3"/>
      <c r="F21" s="3"/>
      <c r="G21" s="3"/>
      <c r="H21" s="3"/>
      <c r="I21" s="3"/>
    </row>
    <row r="22" spans="1:9">
      <c r="A22" s="11" t="s">
        <v>73</v>
      </c>
      <c r="B22" s="12"/>
      <c r="C22" s="3"/>
      <c r="D22" s="3"/>
      <c r="E22" s="3"/>
      <c r="F22" s="3"/>
      <c r="G22" s="3"/>
      <c r="H22" s="3"/>
      <c r="I22" s="3"/>
    </row>
    <row r="23" spans="1:9">
      <c r="A23" s="11" t="s">
        <v>74</v>
      </c>
      <c r="B23" s="12"/>
      <c r="C23" s="3"/>
      <c r="D23" s="3"/>
      <c r="E23" s="3"/>
      <c r="F23" s="3"/>
      <c r="G23" s="3"/>
      <c r="H23" s="3"/>
      <c r="I23" s="3"/>
    </row>
    <row r="24" spans="1:9" ht="15.75" thickBot="1">
      <c r="A24" s="13" t="s">
        <v>79</v>
      </c>
      <c r="B24" s="14"/>
      <c r="C24" s="3"/>
      <c r="D24" s="3"/>
      <c r="E24" s="3"/>
      <c r="F24" s="3"/>
      <c r="G24" s="3"/>
      <c r="H24" s="3"/>
      <c r="I24" s="3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ItemBank</vt:lpstr>
      <vt:lpstr>Responses</vt:lpstr>
      <vt:lpstr>Stats</vt:lpstr>
      <vt:lpstr>Help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Luck Way</cp:lastModifiedBy>
  <dcterms:created xsi:type="dcterms:W3CDTF">2025-11-19T17:38:15Z</dcterms:created>
  <dcterms:modified xsi:type="dcterms:W3CDTF">2025-11-25T21:20:26Z</dcterms:modified>
</cp:coreProperties>
</file>